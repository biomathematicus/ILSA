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 Tracker" sheetId="2" state="visible" r:id="rId2"/>
    <sheet xmlns:r="http://schemas.openxmlformats.org/officeDocument/2006/relationships" name="Income Tracker" sheetId="3" state="visible" r:id="rId3"/>
    <sheet xmlns:r="http://schemas.openxmlformats.org/officeDocument/2006/relationships" name="Reserve Scenarios" sheetId="4" state="visible" r:id="rId4"/>
    <sheet xmlns:r="http://schemas.openxmlformats.org/officeDocument/2006/relationships" name="Fundraising Planner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&quot;—&quot;"/>
    <numFmt numFmtId="165" formatCode="#,##0;;&quot;—&quot;"/>
    <numFmt numFmtId="166" formatCode="$#,##0.00;($#,##0.00);&quot;—&quot;"/>
    <numFmt numFmtId="167" formatCode="0.0%;;&quot;—&quot;"/>
    <numFmt numFmtId="168" formatCode="yyyy-mm-dd h:mm:ss"/>
    <numFmt numFmtId="169" formatCode="m/d/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i val="1"/>
      <color rgb="00FFFFFF"/>
      <sz val="12"/>
    </font>
    <font>
      <name val="Calibri"/>
      <b val="1"/>
      <color rgb="00FFFFFF"/>
      <sz val="10"/>
    </font>
    <font>
      <name val="Calibri"/>
      <b val="1"/>
      <color rgb="0027AE60"/>
      <sz val="16"/>
    </font>
    <font>
      <name val="Calibri"/>
      <b val="1"/>
      <color rgb="00C0392B"/>
      <sz val="16"/>
    </font>
    <font>
      <name val="Calibri"/>
      <b val="1"/>
      <color rgb="002E86C1"/>
      <sz val="16"/>
    </font>
    <font>
      <name val="Calibri"/>
      <b val="1"/>
      <color rgb="000E2B3E"/>
      <sz val="16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0070C0"/>
      <sz val="11"/>
    </font>
    <font>
      <name val="Calibri"/>
      <color rgb="000070C0"/>
      <sz val="11"/>
    </font>
    <font>
      <name val="Calibri"/>
      <b val="1"/>
      <color rgb="000E2B3E"/>
      <sz val="12"/>
    </font>
    <font>
      <name val="Calibri"/>
      <i val="1"/>
      <color rgb="00000000"/>
      <sz val="11"/>
    </font>
    <font>
      <name val="Calibri"/>
      <b val="1"/>
      <color rgb="00FFFFFF"/>
      <sz val="14"/>
    </font>
    <font>
      <name val="Calibri"/>
      <b val="1"/>
      <color rgb="000E2B3E"/>
      <sz val="10"/>
    </font>
    <font>
      <name val="Calibri"/>
      <i val="1"/>
      <color rgb="000E2B3E"/>
      <sz val="11"/>
    </font>
  </fonts>
  <fills count="12">
    <fill>
      <patternFill/>
    </fill>
    <fill>
      <patternFill patternType="gray125"/>
    </fill>
    <fill>
      <patternFill patternType="solid">
        <fgColor rgb="000E2B3E"/>
      </patternFill>
    </fill>
    <fill>
      <patternFill patternType="solid">
        <fgColor rgb="0017A2B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EAF1F7"/>
      </patternFill>
    </fill>
    <fill>
      <patternFill patternType="solid">
        <fgColor rgb="00F0AD4E"/>
      </patternFill>
    </fill>
    <fill>
      <patternFill patternType="solid">
        <fgColor rgb="002E8B57"/>
      </patternFill>
    </fill>
    <fill>
      <patternFill patternType="solid">
        <fgColor rgb="00FFC107"/>
      </patternFill>
    </fill>
  </fills>
  <borders count="11">
    <border>
      <left/>
      <right/>
      <top/>
      <bottom/>
      <diagonal/>
    </border>
    <border>
      <left style="thin">
        <color rgb="00BFCAD4"/>
      </left>
      <right style="thin">
        <color rgb="00BFCAD4"/>
      </right>
      <top style="thin">
        <color rgb="00BFCAD4"/>
      </top>
      <bottom style="thin">
        <color rgb="00BFCAD4"/>
      </bottom>
    </border>
    <border>
      <left/>
      <right/>
      <top style="thin">
        <color rgb="00BFCAD4"/>
      </top>
      <bottom/>
      <diagonal/>
    </border>
    <border>
      <left style="thin">
        <color rgb="00BFCAD4"/>
      </left>
      <right/>
      <top/>
      <bottom/>
      <diagonal/>
    </border>
    <border>
      <left/>
      <right style="thin">
        <color rgb="00BFCAD4"/>
      </right>
      <top style="thin">
        <color rgb="00BFCAD4"/>
      </top>
      <bottom/>
      <diagonal/>
    </border>
    <border>
      <left/>
      <right style="thin">
        <color rgb="00BFCAD4"/>
      </right>
      <top/>
      <bottom/>
      <diagonal/>
    </border>
    <border>
      <left style="thin">
        <color rgb="00BFCAD4"/>
      </left>
      <right/>
      <top/>
      <bottom style="thin">
        <color rgb="00BFCAD4"/>
      </bottom>
      <diagonal/>
    </border>
    <border>
      <left/>
      <right/>
      <top/>
      <bottom style="thin">
        <color rgb="00BFCAD4"/>
      </bottom>
      <diagonal/>
    </border>
    <border>
      <left/>
      <right style="thin">
        <color rgb="00BFCAD4"/>
      </right>
      <top/>
      <bottom style="thin">
        <color rgb="00BFCAD4"/>
      </bottom>
      <diagonal/>
    </border>
    <border>
      <left/>
      <right/>
      <top style="thin">
        <color rgb="00BFCAD4"/>
      </top>
      <bottom style="thin">
        <color rgb="00BFCAD4"/>
      </bottom>
      <diagonal/>
    </border>
    <border>
      <left/>
      <right style="thin">
        <color rgb="00BFCAD4"/>
      </right>
      <top style="thin">
        <color rgb="00BFCAD4"/>
      </top>
      <bottom style="thin">
        <color rgb="00BFCAD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11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6" fontId="13" fillId="7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166" fontId="13" fillId="8" borderId="1" applyAlignment="1" pivotButton="0" quotePrefix="0" xfId="0">
      <alignment horizontal="center" vertical="center"/>
    </xf>
    <xf numFmtId="167" fontId="9" fillId="8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9" fontId="9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169" fontId="9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/>
    </xf>
    <xf numFmtId="0" fontId="11" fillId="8" borderId="1" applyAlignment="1" pivotButton="0" quotePrefix="0" xfId="0">
      <alignment horizontal="left" vertical="top"/>
    </xf>
    <xf numFmtId="0" fontId="9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/>
    </xf>
    <xf numFmtId="0" fontId="1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IMAGINATION LIBRARY OF SAN ANTONIO - FINANCIAL DASHBOARD</t>
        </is>
      </c>
      <c r="B1" s="2" t="n"/>
      <c r="C1" s="2" t="n"/>
      <c r="D1" s="2" t="n"/>
      <c r="E1" s="3" t="n"/>
    </row>
    <row r="2">
      <c r="A2" s="4" t="n"/>
      <c r="B2" s="5" t="n"/>
      <c r="C2" s="5" t="n"/>
      <c r="D2" s="5" t="n"/>
      <c r="E2" s="6" t="n"/>
    </row>
    <row r="3">
      <c r="A3" s="7" t="inlineStr">
        <is>
          <t>All months, inception to date  ·  September 2024 - May 2026</t>
        </is>
      </c>
      <c r="B3" s="8" t="n"/>
      <c r="C3" s="8" t="n"/>
      <c r="D3" s="8" t="n"/>
      <c r="E3" s="9" t="n"/>
    </row>
    <row r="5" ht="30" customHeight="1">
      <c r="A5" s="10" t="inlineStr">
        <is>
          <t>Total Income
(all years)</t>
        </is>
      </c>
      <c r="B5" s="11" t="inlineStr">
        <is>
          <t>Total Expenses
(all years)</t>
        </is>
      </c>
      <c r="C5" s="10" t="inlineStr">
        <is>
          <t>Current Reserves</t>
        </is>
      </c>
      <c r="D5" s="12" t="inlineStr">
        <is>
          <t>Latest Enrollment</t>
        </is>
      </c>
      <c r="E5" s="13" t="inlineStr">
        <is>
          <t>Months Tracked</t>
        </is>
      </c>
    </row>
    <row r="6" ht="26" customHeight="1">
      <c r="A6" s="14" t="n">
        <v>196543</v>
      </c>
      <c r="B6" s="15" t="n">
        <v>12664</v>
      </c>
      <c r="C6" s="14" t="n">
        <v>183879</v>
      </c>
      <c r="D6" s="16" t="n">
        <v>1099</v>
      </c>
      <c r="E6" s="17" t="n">
        <v>21</v>
      </c>
    </row>
    <row r="8">
      <c r="A8" s="18" t="inlineStr">
        <is>
          <t>Monthly Activity (all months)</t>
        </is>
      </c>
      <c r="B8" s="8" t="n"/>
      <c r="C8" s="8" t="n"/>
      <c r="D8" s="8" t="n"/>
      <c r="E8" s="9" t="n"/>
    </row>
    <row r="9">
      <c r="A9" s="19" t="inlineStr">
        <is>
          <t>Month</t>
        </is>
      </c>
      <c r="B9" s="19" t="inlineStr">
        <is>
          <t>Income</t>
        </is>
      </c>
      <c r="C9" s="19" t="inlineStr">
        <is>
          <t>Expenses</t>
        </is>
      </c>
      <c r="D9" s="19" t="inlineStr">
        <is>
          <t>Net</t>
        </is>
      </c>
      <c r="E9" s="19" t="inlineStr">
        <is>
          <t>Reserves</t>
        </is>
      </c>
    </row>
    <row r="10">
      <c r="A10" s="20" t="inlineStr">
        <is>
          <t>Sep 2024</t>
        </is>
      </c>
      <c r="B10" s="21" t="n">
        <v>200</v>
      </c>
      <c r="C10" s="21" t="n">
        <v>-0</v>
      </c>
      <c r="D10" s="21" t="n">
        <v>200</v>
      </c>
      <c r="E10" s="21" t="n">
        <v>200</v>
      </c>
    </row>
    <row r="11">
      <c r="A11" s="22" t="inlineStr">
        <is>
          <t>Oct 2024</t>
        </is>
      </c>
      <c r="B11" s="23" t="n">
        <v>13.72</v>
      </c>
      <c r="C11" s="23" t="n">
        <v>-0</v>
      </c>
      <c r="D11" s="23" t="n">
        <v>13.72</v>
      </c>
      <c r="E11" s="23" t="n">
        <v>213.72</v>
      </c>
    </row>
    <row r="12">
      <c r="A12" s="20" t="inlineStr">
        <is>
          <t>Nov 2024</t>
        </is>
      </c>
      <c r="B12" s="21" t="n">
        <v>26243.25</v>
      </c>
      <c r="C12" s="21" t="n">
        <v>1.16</v>
      </c>
      <c r="D12" s="21" t="n">
        <v>26242.09</v>
      </c>
      <c r="E12" s="21" t="n">
        <v>26455.81</v>
      </c>
    </row>
    <row r="13">
      <c r="A13" s="22" t="inlineStr">
        <is>
          <t>Dec 2024</t>
        </is>
      </c>
      <c r="B13" s="23" t="n">
        <v>244.53</v>
      </c>
      <c r="C13" s="23" t="n">
        <v>-0</v>
      </c>
      <c r="D13" s="23" t="n">
        <v>244.53</v>
      </c>
      <c r="E13" s="23" t="n">
        <v>26700.34</v>
      </c>
    </row>
    <row r="14">
      <c r="A14" s="20" t="inlineStr">
        <is>
          <t>Jan 2025</t>
        </is>
      </c>
      <c r="B14" s="21" t="n">
        <v>244.53</v>
      </c>
      <c r="C14" s="21" t="n">
        <v>-0</v>
      </c>
      <c r="D14" s="21" t="n">
        <v>244.53</v>
      </c>
      <c r="E14" s="21" t="n">
        <v>26944.87</v>
      </c>
    </row>
    <row r="15">
      <c r="A15" s="22" t="inlineStr">
        <is>
          <t>Feb 2025</t>
        </is>
      </c>
      <c r="B15" s="23" t="n">
        <v>2224.14</v>
      </c>
      <c r="C15" s="23" t="n">
        <v>-0</v>
      </c>
      <c r="D15" s="23" t="n">
        <v>2224.14</v>
      </c>
      <c r="E15" s="23" t="n">
        <v>29169.01</v>
      </c>
    </row>
    <row r="16">
      <c r="A16" s="20" t="inlineStr">
        <is>
          <t>Mar 2025</t>
        </is>
      </c>
      <c r="B16" s="21" t="n">
        <v>550.87</v>
      </c>
      <c r="C16" s="21" t="n">
        <v>206.77</v>
      </c>
      <c r="D16" s="21" t="n">
        <v>344.1</v>
      </c>
      <c r="E16" s="21" t="n">
        <v>29513.11</v>
      </c>
    </row>
    <row r="17">
      <c r="A17" s="22" t="inlineStr">
        <is>
          <t>Apr 2025</t>
        </is>
      </c>
      <c r="B17" s="23" t="n">
        <v>296.53</v>
      </c>
      <c r="C17" s="23" t="n">
        <v>189.79</v>
      </c>
      <c r="D17" s="23" t="n">
        <v>106.74</v>
      </c>
      <c r="E17" s="23" t="n">
        <v>29619.85</v>
      </c>
    </row>
    <row r="18">
      <c r="A18" s="20" t="inlineStr">
        <is>
          <t>May 2025</t>
        </is>
      </c>
      <c r="B18" s="21" t="n">
        <v>2411.53</v>
      </c>
      <c r="C18" s="21" t="n">
        <v>331.29</v>
      </c>
      <c r="D18" s="21" t="n">
        <v>2080.24</v>
      </c>
      <c r="E18" s="21" t="n">
        <v>31700.09</v>
      </c>
    </row>
    <row r="19">
      <c r="A19" s="22" t="inlineStr">
        <is>
          <t>Jun 2025</t>
        </is>
      </c>
      <c r="B19" s="23" t="n">
        <v>296.53</v>
      </c>
      <c r="C19" s="23" t="n">
        <v>604</v>
      </c>
      <c r="D19" s="23" t="n">
        <v>-307.47</v>
      </c>
      <c r="E19" s="23" t="n">
        <v>31392.62</v>
      </c>
    </row>
    <row r="20">
      <c r="A20" s="20" t="inlineStr">
        <is>
          <t>Jul 2025</t>
        </is>
      </c>
      <c r="B20" s="21" t="n">
        <v>30296.53</v>
      </c>
      <c r="C20" s="21" t="n">
        <v>634.8099999999999</v>
      </c>
      <c r="D20" s="21" t="n">
        <v>29661.72</v>
      </c>
      <c r="E20" s="21" t="n">
        <v>61054.34</v>
      </c>
    </row>
    <row r="21">
      <c r="A21" s="22" t="inlineStr">
        <is>
          <t>Aug 2025</t>
        </is>
      </c>
      <c r="B21" s="23" t="n">
        <v>296.53</v>
      </c>
      <c r="C21" s="23" t="n">
        <v>783.38</v>
      </c>
      <c r="D21" s="23" t="n">
        <v>-486.85</v>
      </c>
      <c r="E21" s="23" t="n">
        <v>60567.49</v>
      </c>
    </row>
    <row r="22">
      <c r="A22" s="20" t="inlineStr">
        <is>
          <t>Sep 2025</t>
        </is>
      </c>
      <c r="B22" s="21" t="n">
        <v>658.53</v>
      </c>
      <c r="C22" s="21" t="n">
        <v>904.09</v>
      </c>
      <c r="D22" s="21" t="n">
        <v>-245.56</v>
      </c>
      <c r="E22" s="21" t="n">
        <v>60321.93</v>
      </c>
    </row>
    <row r="23">
      <c r="A23" s="22" t="inlineStr">
        <is>
          <t>Oct 2025</t>
        </is>
      </c>
      <c r="B23" s="23" t="n">
        <v>345.04</v>
      </c>
      <c r="C23" s="23" t="n">
        <v>1010.92</v>
      </c>
      <c r="D23" s="23" t="n">
        <v>-665.88</v>
      </c>
      <c r="E23" s="23" t="n">
        <v>59656.05</v>
      </c>
    </row>
    <row r="24">
      <c r="A24" s="20" t="inlineStr">
        <is>
          <t>Nov 2025</t>
        </is>
      </c>
      <c r="B24" s="21" t="n">
        <v>296.53</v>
      </c>
      <c r="C24" s="21" t="n">
        <v>1712.25</v>
      </c>
      <c r="D24" s="21" t="n">
        <v>-1415.72</v>
      </c>
      <c r="E24" s="21" t="n">
        <v>58240.33</v>
      </c>
    </row>
    <row r="25">
      <c r="A25" s="22" t="inlineStr">
        <is>
          <t>Dec 2025</t>
        </is>
      </c>
      <c r="B25" s="23" t="n">
        <v>111128.69</v>
      </c>
      <c r="C25" s="23" t="n">
        <v>1766.51</v>
      </c>
      <c r="D25" s="23" t="n">
        <v>109362.18</v>
      </c>
      <c r="E25" s="23" t="n">
        <v>167602.51</v>
      </c>
    </row>
    <row r="26">
      <c r="A26" s="20" t="inlineStr">
        <is>
          <t>Jan 2026</t>
        </is>
      </c>
      <c r="B26" s="21" t="n">
        <v>786.58</v>
      </c>
      <c r="C26" s="21" t="n">
        <v>1804.81</v>
      </c>
      <c r="D26" s="21" t="n">
        <v>-1018.23</v>
      </c>
      <c r="E26" s="21" t="n">
        <v>166584.28</v>
      </c>
    </row>
    <row r="27">
      <c r="A27" s="22" t="inlineStr">
        <is>
          <t>Feb 2026</t>
        </is>
      </c>
      <c r="B27" s="23" t="n">
        <v>52</v>
      </c>
      <c r="C27" s="23" t="n">
        <v>-0</v>
      </c>
      <c r="D27" s="23" t="n">
        <v>52</v>
      </c>
      <c r="E27" s="23" t="n">
        <v>166636.28</v>
      </c>
    </row>
    <row r="28">
      <c r="A28" s="20" t="inlineStr">
        <is>
          <t>Mar 2026</t>
        </is>
      </c>
      <c r="B28" s="21" t="n">
        <v>15602</v>
      </c>
      <c r="C28" s="21" t="n">
        <v>2714.08</v>
      </c>
      <c r="D28" s="21" t="n">
        <v>12887.92</v>
      </c>
      <c r="E28" s="21" t="n">
        <v>179524.2</v>
      </c>
    </row>
    <row r="29">
      <c r="A29" s="22" t="inlineStr">
        <is>
          <t>Apr 2026</t>
        </is>
      </c>
      <c r="B29" s="23" t="n">
        <v>2135.54</v>
      </c>
      <c r="C29" s="23" t="n">
        <v>-0</v>
      </c>
      <c r="D29" s="23" t="n">
        <v>2135.54</v>
      </c>
      <c r="E29" s="23" t="n">
        <v>181659.74</v>
      </c>
    </row>
    <row r="30">
      <c r="A30" s="20" t="inlineStr">
        <is>
          <t>May 2026</t>
        </is>
      </c>
      <c r="B30" s="21" t="n">
        <v>2218.92</v>
      </c>
      <c r="C30" s="21" t="n">
        <v>-0</v>
      </c>
      <c r="D30" s="21" t="n">
        <v>2218.92</v>
      </c>
      <c r="E30" s="21" t="n">
        <v>183878.66</v>
      </c>
    </row>
    <row r="31">
      <c r="A31" s="24" t="inlineStr">
        <is>
          <t>TOTAL</t>
        </is>
      </c>
      <c r="B31" s="25" t="n">
        <v>196542.52</v>
      </c>
      <c r="C31" s="25" t="n">
        <v>12663.86</v>
      </c>
      <c r="D31" s="25" t="n">
        <v>183878.66</v>
      </c>
      <c r="E31" s="25" t="n">
        <v>183878.66</v>
      </c>
    </row>
  </sheetData>
  <mergeCells count="3">
    <mergeCell ref="A8:E8"/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MONTHLY BUDGET TRACKER  ·  Blue cells = data entry</t>
        </is>
      </c>
      <c r="B1" s="2" t="n"/>
      <c r="C1" s="2" t="n"/>
      <c r="D1" s="2" t="n"/>
      <c r="E1" s="2" t="n"/>
      <c r="F1" s="2" t="n"/>
      <c r="G1" s="3" t="n"/>
    </row>
    <row r="2">
      <c r="A2" s="4" t="n"/>
      <c r="B2" s="5" t="n"/>
      <c r="C2" s="5" t="n"/>
      <c r="D2" s="5" t="n"/>
      <c r="E2" s="5" t="n"/>
      <c r="F2" s="5" t="n"/>
      <c r="G2" s="6" t="n"/>
    </row>
    <row r="3">
      <c r="A3" s="26" t="inlineStr">
        <is>
          <t>Starting Funds (FY open):</t>
        </is>
      </c>
      <c r="B3" s="27" t="n">
        <v>61054.34</v>
      </c>
      <c r="C3" s="28" t="n"/>
    </row>
    <row r="4">
      <c r="A4" s="26" t="inlineStr">
        <is>
          <t>Total Budgeted Costs:</t>
        </is>
      </c>
      <c r="B4" s="29">
        <f>SUM(D9:D20)</f>
        <v/>
      </c>
      <c r="C4" s="28" t="n"/>
    </row>
    <row r="5">
      <c r="A5" s="26" t="inlineStr">
        <is>
          <t>Fundraising Goal:</t>
        </is>
      </c>
      <c r="B5" s="27" t="n">
        <v>100000</v>
      </c>
      <c r="C5" s="28" t="n"/>
    </row>
    <row r="7">
      <c r="A7" s="30" t="inlineStr">
        <is>
          <t>PROGRAM COSTS — Monthly Enrollment &amp; DPIL Invoices</t>
        </is>
      </c>
      <c r="B7" s="8" t="n"/>
      <c r="C7" s="8" t="n"/>
      <c r="D7" s="8" t="n"/>
      <c r="E7" s="8" t="n"/>
      <c r="F7" s="8" t="n"/>
      <c r="G7" s="9" t="n"/>
    </row>
    <row r="8" ht="32" customHeight="1">
      <c r="A8" s="13" t="inlineStr">
        <is>
          <t>Month</t>
        </is>
      </c>
      <c r="B8" s="13" t="inlineStr">
        <is>
          <t>Budget: Kids</t>
        </is>
      </c>
      <c r="C8" s="13" t="inlineStr">
        <is>
          <t>Actual Kids
(enter)</t>
        </is>
      </c>
      <c r="D8" s="13" t="inlineStr">
        <is>
          <t>Budget: Invoice</t>
        </is>
      </c>
      <c r="E8" s="13" t="inlineStr">
        <is>
          <t>Actual Invoice
(enter)</t>
        </is>
      </c>
      <c r="F8" s="13" t="inlineStr">
        <is>
          <t>Variance $</t>
        </is>
      </c>
      <c r="G8" s="13" t="inlineStr">
        <is>
          <t>% of Budget</t>
        </is>
      </c>
    </row>
    <row r="9">
      <c r="A9" s="24" t="inlineStr">
        <is>
          <t>Aug</t>
        </is>
      </c>
      <c r="B9" s="31" t="n">
        <v>370</v>
      </c>
      <c r="C9" s="32" t="n">
        <v>273</v>
      </c>
      <c r="D9" s="21" t="n">
        <v>900</v>
      </c>
      <c r="E9" s="33" t="n">
        <v>634.8099999999999</v>
      </c>
      <c r="F9" s="21">
        <f>IF(E9="","",D9-E9)</f>
        <v/>
      </c>
      <c r="G9" s="34">
        <f>IF(OR(E9="",D9=0),"",E9/D9)</f>
        <v/>
      </c>
    </row>
    <row r="10">
      <c r="A10" s="24" t="inlineStr">
        <is>
          <t>Sep</t>
        </is>
      </c>
      <c r="B10" s="35" t="n">
        <v>425</v>
      </c>
      <c r="C10" s="36" t="n">
        <v>324</v>
      </c>
      <c r="D10" s="23" t="n">
        <v>1000</v>
      </c>
      <c r="E10" s="37" t="n">
        <v>783.38</v>
      </c>
      <c r="F10" s="23">
        <f>IF(E10="","",D10-E10)</f>
        <v/>
      </c>
      <c r="G10" s="38">
        <f>IF(OR(E10="",D10=0),"",E10/D10)</f>
        <v/>
      </c>
    </row>
    <row r="11">
      <c r="A11" s="24" t="inlineStr">
        <is>
          <t>Oct</t>
        </is>
      </c>
      <c r="B11" s="31" t="n">
        <v>490</v>
      </c>
      <c r="C11" s="32" t="n">
        <v>379</v>
      </c>
      <c r="D11" s="21" t="n">
        <v>1200</v>
      </c>
      <c r="E11" s="33" t="n">
        <v>904.09</v>
      </c>
      <c r="F11" s="21">
        <f>IF(E11="","",D11-E11)</f>
        <v/>
      </c>
      <c r="G11" s="34">
        <f>IF(OR(E11="",D11=0),"",E11/D11)</f>
        <v/>
      </c>
    </row>
    <row r="12">
      <c r="A12" s="24" t="inlineStr">
        <is>
          <t>Nov</t>
        </is>
      </c>
      <c r="B12" s="35" t="n">
        <v>560</v>
      </c>
      <c r="C12" s="36" t="n">
        <v>407</v>
      </c>
      <c r="D12" s="23" t="n">
        <v>1350</v>
      </c>
      <c r="E12" s="37" t="n">
        <v>1010.92</v>
      </c>
      <c r="F12" s="23">
        <f>IF(E12="","",D12-E12)</f>
        <v/>
      </c>
      <c r="G12" s="38">
        <f>IF(OR(E12="",D12=0),"",E12/D12)</f>
        <v/>
      </c>
    </row>
    <row r="13">
      <c r="A13" s="24" t="inlineStr">
        <is>
          <t>Dec</t>
        </is>
      </c>
      <c r="B13" s="31" t="n">
        <v>650</v>
      </c>
      <c r="C13" s="32" t="n">
        <v>693</v>
      </c>
      <c r="D13" s="21" t="n">
        <v>1580</v>
      </c>
      <c r="E13" s="33" t="n">
        <v>1712.25</v>
      </c>
      <c r="F13" s="21">
        <f>IF(E13="","",D13-E13)</f>
        <v/>
      </c>
      <c r="G13" s="34">
        <f>IF(OR(E13="",D13=0),"",E13/D13)</f>
        <v/>
      </c>
    </row>
    <row r="14">
      <c r="A14" s="24" t="inlineStr">
        <is>
          <t>Jan</t>
        </is>
      </c>
      <c r="B14" s="35" t="n">
        <v>750</v>
      </c>
      <c r="C14" s="36" t="n">
        <v>751</v>
      </c>
      <c r="D14" s="23" t="n">
        <v>1800</v>
      </c>
      <c r="E14" s="37" t="n">
        <v>1766.51</v>
      </c>
      <c r="F14" s="23">
        <f>IF(E14="","",D14-E14)</f>
        <v/>
      </c>
      <c r="G14" s="38">
        <f>IF(OR(E14="",D14=0),"",E14/D14)</f>
        <v/>
      </c>
    </row>
    <row r="15">
      <c r="A15" s="24" t="inlineStr">
        <is>
          <t>Feb</t>
        </is>
      </c>
      <c r="B15" s="31" t="n">
        <v>850</v>
      </c>
      <c r="C15" s="32" t="n">
        <v>756</v>
      </c>
      <c r="D15" s="21" t="n">
        <v>2100</v>
      </c>
      <c r="E15" s="33" t="n">
        <v>1804.81</v>
      </c>
      <c r="F15" s="21">
        <f>IF(E15="","",D15-E15)</f>
        <v/>
      </c>
      <c r="G15" s="34">
        <f>IF(OR(E15="",D15=0),"",E15/D15)</f>
        <v/>
      </c>
    </row>
    <row r="16">
      <c r="A16" s="24" t="inlineStr">
        <is>
          <t>Mar</t>
        </is>
      </c>
      <c r="B16" s="35" t="n">
        <v>980</v>
      </c>
      <c r="C16" s="36" t="n">
        <v>939</v>
      </c>
      <c r="D16" s="23" t="n">
        <v>2400</v>
      </c>
      <c r="E16" s="37" t="n">
        <v>2214.08</v>
      </c>
      <c r="F16" s="23">
        <f>IF(E16="","",D16-E16)</f>
        <v/>
      </c>
      <c r="G16" s="38">
        <f>IF(OR(E16="",D16=0),"",E16/D16)</f>
        <v/>
      </c>
    </row>
    <row r="17">
      <c r="A17" s="24" t="inlineStr">
        <is>
          <t>Apr</t>
        </is>
      </c>
      <c r="B17" s="31" t="n">
        <v>1120</v>
      </c>
      <c r="C17" s="32" t="n">
        <v>1002</v>
      </c>
      <c r="D17" s="21" t="n">
        <v>2750</v>
      </c>
      <c r="E17" s="33" t="n">
        <v>2312.56</v>
      </c>
      <c r="F17" s="21">
        <f>IF(E17="","",D17-E17)</f>
        <v/>
      </c>
      <c r="G17" s="34">
        <f>IF(OR(E17="",D17=0),"",E17/D17)</f>
        <v/>
      </c>
    </row>
    <row r="18">
      <c r="A18" s="24" t="inlineStr">
        <is>
          <t>May</t>
        </is>
      </c>
      <c r="B18" s="35" t="n">
        <v>1300</v>
      </c>
      <c r="C18" s="36" t="n">
        <v>1039</v>
      </c>
      <c r="D18" s="23" t="n">
        <v>3200</v>
      </c>
      <c r="E18" s="37" t="n">
        <v>2387.26</v>
      </c>
      <c r="F18" s="23">
        <f>IF(E18="","",D18-E18)</f>
        <v/>
      </c>
      <c r="G18" s="38">
        <f>IF(OR(E18="",D18=0),"",E18/D18)</f>
        <v/>
      </c>
    </row>
    <row r="19">
      <c r="A19" s="24" t="inlineStr">
        <is>
          <t>Jun</t>
        </is>
      </c>
      <c r="B19" s="31" t="n">
        <v>1500</v>
      </c>
      <c r="C19" s="32" t="n">
        <v>1099</v>
      </c>
      <c r="D19" s="21" t="n">
        <v>3650</v>
      </c>
      <c r="E19" s="33" t="n">
        <v>2635.21</v>
      </c>
      <c r="F19" s="21">
        <f>IF(E19="","",D19-E19)</f>
        <v/>
      </c>
      <c r="G19" s="34">
        <f>IF(OR(E19="",D19=0),"",E19/D19)</f>
        <v/>
      </c>
    </row>
    <row r="20">
      <c r="A20" s="24" t="inlineStr">
        <is>
          <t>Jul</t>
        </is>
      </c>
      <c r="B20" s="35" t="n">
        <v>1700</v>
      </c>
      <c r="C20" s="36" t="n"/>
      <c r="D20" s="23" t="n">
        <v>4200</v>
      </c>
      <c r="E20" s="37" t="n"/>
      <c r="F20" s="23">
        <f>IF(E20="","",D20-E20)</f>
        <v/>
      </c>
      <c r="G20" s="38">
        <f>IF(OR(E20="",D20=0),"",E20/D20)</f>
        <v/>
      </c>
    </row>
    <row r="21">
      <c r="A21" s="24" t="inlineStr">
        <is>
          <t>TOTALS</t>
        </is>
      </c>
      <c r="B21" s="39">
        <f>SUM(B9:B20)</f>
        <v/>
      </c>
      <c r="C21" s="39">
        <f>SUM(C9:C20)</f>
        <v/>
      </c>
      <c r="D21" s="25">
        <f>SUM(D9:D20)</f>
        <v/>
      </c>
      <c r="E21" s="25">
        <f>SUM(E9:E20)</f>
        <v/>
      </c>
      <c r="F21" s="25">
        <f>SUM(F9:F20)</f>
        <v/>
      </c>
      <c r="G21" s="40" t="n"/>
    </row>
    <row r="23">
      <c r="A23" s="41" t="inlineStr">
        <is>
          <t>OPERATIONAL &amp; MARKETING COSTS</t>
        </is>
      </c>
      <c r="B23" s="8" t="n"/>
      <c r="C23" s="8" t="n"/>
      <c r="D23" s="8" t="n"/>
      <c r="E23" s="8" t="n"/>
      <c r="F23" s="8" t="n"/>
      <c r="G23" s="9" t="n"/>
    </row>
    <row r="24" ht="30" customHeight="1">
      <c r="A24" s="13" t="inlineStr">
        <is>
          <t>Item</t>
        </is>
      </c>
      <c r="B24" s="13" t="inlineStr">
        <is>
          <t>Budgeted ($)</t>
        </is>
      </c>
      <c r="C24" s="13" t="inlineStr">
        <is>
          <t>Actual ($)
(enter)</t>
        </is>
      </c>
      <c r="D24" s="13" t="inlineStr">
        <is>
          <t>Frequency</t>
        </is>
      </c>
      <c r="E24" s="13" t="inlineStr">
        <is>
          <t>Notes</t>
        </is>
      </c>
      <c r="F24" s="13" t="inlineStr"/>
      <c r="G24" s="13" t="inlineStr"/>
    </row>
    <row r="25">
      <c r="A25" s="42" t="inlineStr">
        <is>
          <t>Mail Box</t>
        </is>
      </c>
      <c r="B25" s="21" t="n">
        <v>350</v>
      </c>
      <c r="C25" s="43" t="n"/>
      <c r="D25" s="44" t="inlineStr">
        <is>
          <t>yearly</t>
        </is>
      </c>
      <c r="E25" s="42" t="n"/>
      <c r="F25" s="42" t="n"/>
      <c r="G25" s="42" t="n"/>
    </row>
    <row r="26">
      <c r="A26" s="45" t="n"/>
      <c r="B26" s="23" t="n"/>
      <c r="C26" s="46" t="n"/>
      <c r="D26" s="47" t="n"/>
      <c r="E26" s="45" t="n"/>
      <c r="F26" s="45" t="n"/>
      <c r="G26" s="45" t="n"/>
    </row>
    <row r="27">
      <c r="A27" s="42" t="n"/>
      <c r="B27" s="21" t="n"/>
      <c r="C27" s="43" t="n"/>
      <c r="D27" s="44" t="n"/>
      <c r="E27" s="42" t="n"/>
      <c r="F27" s="42" t="n"/>
      <c r="G27" s="42" t="n"/>
    </row>
    <row r="28">
      <c r="A28" s="45" t="n"/>
      <c r="B28" s="23" t="n"/>
      <c r="C28" s="46" t="n"/>
      <c r="D28" s="47" t="n"/>
      <c r="E28" s="45" t="n"/>
      <c r="F28" s="45" t="n"/>
      <c r="G28" s="45" t="n"/>
    </row>
    <row r="29">
      <c r="A29" s="42" t="n"/>
      <c r="B29" s="21" t="n"/>
      <c r="C29" s="43" t="n"/>
      <c r="D29" s="44" t="n"/>
      <c r="E29" s="42" t="n"/>
      <c r="F29" s="42" t="n"/>
      <c r="G29" s="42" t="n"/>
    </row>
    <row r="30">
      <c r="A30" s="45" t="n"/>
      <c r="B30" s="23" t="n"/>
      <c r="C30" s="46" t="n"/>
      <c r="D30" s="47" t="n"/>
      <c r="E30" s="45" t="n"/>
      <c r="F30" s="45" t="n"/>
      <c r="G30" s="45" t="n"/>
    </row>
    <row r="31">
      <c r="A31" s="42" t="n"/>
      <c r="B31" s="21" t="n"/>
      <c r="C31" s="43" t="n"/>
      <c r="D31" s="44" t="n"/>
      <c r="E31" s="42" t="n"/>
      <c r="F31" s="42" t="n"/>
      <c r="G31" s="42" t="n"/>
    </row>
  </sheetData>
  <mergeCells count="3">
    <mergeCell ref="A23:G23"/>
    <mergeCell ref="A7:G7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3" customWidth="1" min="4" max="4"/>
    <col width="11" customWidth="1" min="5" max="5"/>
    <col width="8" customWidth="1" min="6" max="6"/>
    <col width="26" customWidth="1" min="7" max="7"/>
    <col width="11" customWidth="1" min="8" max="8"/>
  </cols>
  <sheetData>
    <row r="1">
      <c r="A1" s="48" t="inlineStr">
        <is>
          <t>INCOME &amp; FUNDRAISING TRACKER  ·  All Years (Sep 2024 -- May 2026)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n"/>
      <c r="B2" s="5" t="n"/>
      <c r="C2" s="5" t="n"/>
      <c r="D2" s="5" t="n"/>
      <c r="E2" s="5" t="n"/>
      <c r="F2" s="5" t="n"/>
      <c r="G2" s="5" t="n"/>
      <c r="H2" s="6" t="n"/>
    </row>
    <row r="3">
      <c r="A3" s="41" t="inlineStr">
        <is>
          <t>Cumulative Fundraising Goal: $100,000</t>
        </is>
      </c>
      <c r="B3" s="8" t="n"/>
      <c r="C3" s="8" t="n"/>
      <c r="D3" s="8" t="n"/>
      <c r="E3" s="8" t="n"/>
      <c r="F3" s="8" t="n"/>
      <c r="G3" s="8" t="n"/>
      <c r="H3" s="9" t="n"/>
    </row>
    <row r="5">
      <c r="A5" s="49" t="inlineStr">
        <is>
          <t>Total Raised</t>
        </is>
      </c>
      <c r="B5" s="9" t="n"/>
      <c r="C5" s="24" t="inlineStr">
        <is>
          <t>Goal</t>
        </is>
      </c>
      <c r="D5" s="9" t="n"/>
      <c r="E5" s="50" t="inlineStr">
        <is>
          <t>Remaining</t>
        </is>
      </c>
      <c r="F5" s="9" t="n"/>
      <c r="G5" s="51" t="inlineStr">
        <is>
          <t>% of Goal</t>
        </is>
      </c>
      <c r="H5" s="9" t="n"/>
    </row>
    <row r="6" ht="28" customHeight="1">
      <c r="A6" s="14">
        <f>SUMIFS(D9:D68,C9:C68,"&lt;&gt;Transfer")</f>
        <v/>
      </c>
      <c r="B6" s="9" t="n"/>
      <c r="C6" s="52">
        <f>'Budget Tracker'!B5</f>
        <v/>
      </c>
      <c r="D6" s="9" t="n"/>
      <c r="E6" s="15">
        <f>C6-A6</f>
        <v/>
      </c>
      <c r="F6" s="9" t="n"/>
      <c r="G6" s="53">
        <f>IF(C6=0,"",A6/C6)</f>
        <v/>
      </c>
      <c r="H6" s="9" t="n"/>
    </row>
    <row r="8" ht="22" customHeight="1">
      <c r="A8" s="19" t="inlineStr">
        <is>
          <t>Date</t>
        </is>
      </c>
      <c r="B8" s="19" t="inlineStr">
        <is>
          <t>Donor / Source</t>
        </is>
      </c>
      <c r="C8" s="19" t="inlineStr">
        <is>
          <t>Type</t>
        </is>
      </c>
      <c r="D8" s="19" t="inlineStr">
        <is>
          <t>Amount</t>
        </is>
      </c>
      <c r="E8" s="19" t="inlineStr">
        <is>
          <t>Platform</t>
        </is>
      </c>
      <c r="F8" s="19" t="inlineStr">
        <is>
          <t>Month</t>
        </is>
      </c>
      <c r="G8" s="19" t="inlineStr">
        <is>
          <t>Notes</t>
        </is>
      </c>
      <c r="H8" s="19" t="inlineStr">
        <is>
          <t>Receipt #</t>
        </is>
      </c>
    </row>
    <row r="9">
      <c r="A9" s="54" t="n">
        <v>45554</v>
      </c>
      <c r="B9" s="55" t="inlineStr">
        <is>
          <t>TCB Deposit</t>
        </is>
      </c>
      <c r="C9" s="42" t="inlineStr">
        <is>
          <t>Grant/Major</t>
        </is>
      </c>
      <c r="D9" s="33" t="n">
        <v>200</v>
      </c>
      <c r="E9" s="20" t="inlineStr">
        <is>
          <t>Bank</t>
        </is>
      </c>
      <c r="F9" s="20" t="inlineStr">
        <is>
          <t>Sep</t>
        </is>
      </c>
      <c r="G9" s="42" t="n"/>
      <c r="H9" s="20" t="n"/>
    </row>
    <row r="10">
      <c r="A10" s="56" t="n">
        <v>45575</v>
      </c>
      <c r="B10" s="57" t="inlineStr">
        <is>
          <t>PayPal Donation</t>
        </is>
      </c>
      <c r="C10" s="45" t="inlineStr">
        <is>
          <t>Individual</t>
        </is>
      </c>
      <c r="D10" s="37" t="n">
        <v>5</v>
      </c>
      <c r="E10" s="22" t="inlineStr">
        <is>
          <t>PayPal</t>
        </is>
      </c>
      <c r="F10" s="22" t="inlineStr">
        <is>
          <t>Oct</t>
        </is>
      </c>
      <c r="G10" s="45" t="n"/>
      <c r="H10" s="22" t="n"/>
    </row>
    <row r="11">
      <c r="A11" s="54" t="n">
        <v>45575</v>
      </c>
      <c r="B11" s="55" t="inlineStr">
        <is>
          <t>PayPal Donation</t>
        </is>
      </c>
      <c r="C11" s="42" t="inlineStr">
        <is>
          <t>Individual</t>
        </is>
      </c>
      <c r="D11" s="33" t="n">
        <v>10</v>
      </c>
      <c r="E11" s="20" t="inlineStr">
        <is>
          <t>PayPal</t>
        </is>
      </c>
      <c r="F11" s="20" t="inlineStr">
        <is>
          <t>Oct</t>
        </is>
      </c>
      <c r="G11" s="42" t="n"/>
      <c r="H11" s="20" t="n"/>
    </row>
    <row r="12">
      <c r="A12" s="56" t="n">
        <v>45602</v>
      </c>
      <c r="B12" s="57" t="inlineStr">
        <is>
          <t>PayPal Donation</t>
        </is>
      </c>
      <c r="C12" s="45" t="inlineStr">
        <is>
          <t>Individual</t>
        </is>
      </c>
      <c r="D12" s="37" t="n">
        <v>1000</v>
      </c>
      <c r="E12" s="22" t="inlineStr">
        <is>
          <t>PayPal</t>
        </is>
      </c>
      <c r="F12" s="22" t="inlineStr">
        <is>
          <t>Nov</t>
        </is>
      </c>
      <c r="G12" s="45" t="n"/>
      <c r="H12" s="22" t="n"/>
    </row>
    <row r="13">
      <c r="A13" s="54" t="n">
        <v>45608</v>
      </c>
      <c r="B13" s="55" t="inlineStr">
        <is>
          <t>PayPal Subscription</t>
        </is>
      </c>
      <c r="C13" s="42" t="inlineStr">
        <is>
          <t>Recurring</t>
        </is>
      </c>
      <c r="D13" s="33" t="n">
        <v>250</v>
      </c>
      <c r="E13" s="20" t="inlineStr">
        <is>
          <t>PayPal</t>
        </is>
      </c>
      <c r="F13" s="20" t="inlineStr">
        <is>
          <t>Nov</t>
        </is>
      </c>
      <c r="G13" s="42" t="n"/>
      <c r="H13" s="20" t="n"/>
    </row>
    <row r="14">
      <c r="A14" s="56" t="n">
        <v>45609</v>
      </c>
      <c r="B14" s="57" t="inlineStr">
        <is>
          <t>TCB Deposit</t>
        </is>
      </c>
      <c r="C14" s="45" t="inlineStr">
        <is>
          <t>Grant/Major</t>
        </is>
      </c>
      <c r="D14" s="37" t="n">
        <v>25000</v>
      </c>
      <c r="E14" s="22" t="inlineStr">
        <is>
          <t>Bank</t>
        </is>
      </c>
      <c r="F14" s="22" t="inlineStr">
        <is>
          <t>Nov</t>
        </is>
      </c>
      <c r="G14" s="45" t="n"/>
      <c r="H14" s="22" t="n"/>
    </row>
    <row r="15">
      <c r="A15" s="54" t="n">
        <v>45616</v>
      </c>
      <c r="B15" s="55" t="inlineStr">
        <is>
          <t>PayPal Donation</t>
        </is>
      </c>
      <c r="C15" s="42" t="inlineStr">
        <is>
          <t>Individual</t>
        </is>
      </c>
      <c r="D15" s="33" t="n">
        <v>20</v>
      </c>
      <c r="E15" s="20" t="inlineStr">
        <is>
          <t>PayPal</t>
        </is>
      </c>
      <c r="F15" s="20" t="inlineStr">
        <is>
          <t>Nov</t>
        </is>
      </c>
      <c r="G15" s="42" t="n"/>
      <c r="H15" s="20" t="n"/>
    </row>
    <row r="16">
      <c r="A16" s="56" t="n">
        <v>45638</v>
      </c>
      <c r="B16" s="57" t="inlineStr">
        <is>
          <t>PayPal Subscription</t>
        </is>
      </c>
      <c r="C16" s="45" t="inlineStr">
        <is>
          <t>Recurring</t>
        </is>
      </c>
      <c r="D16" s="37" t="n">
        <v>250</v>
      </c>
      <c r="E16" s="22" t="inlineStr">
        <is>
          <t>PayPal</t>
        </is>
      </c>
      <c r="F16" s="22" t="inlineStr">
        <is>
          <t>Dec</t>
        </is>
      </c>
      <c r="G16" s="45" t="n"/>
      <c r="H16" s="22" t="n"/>
    </row>
    <row r="17">
      <c r="A17" s="54" t="n">
        <v>45669</v>
      </c>
      <c r="B17" s="55" t="inlineStr">
        <is>
          <t>PayPal Subscription</t>
        </is>
      </c>
      <c r="C17" s="42" t="inlineStr">
        <is>
          <t>Recurring</t>
        </is>
      </c>
      <c r="D17" s="33" t="n">
        <v>250</v>
      </c>
      <c r="E17" s="20" t="inlineStr">
        <is>
          <t>PayPal</t>
        </is>
      </c>
      <c r="F17" s="20" t="inlineStr">
        <is>
          <t>Jan</t>
        </is>
      </c>
      <c r="G17" s="42" t="n"/>
      <c r="H17" s="20" t="n"/>
    </row>
    <row r="18">
      <c r="A18" s="56" t="n">
        <v>45699</v>
      </c>
      <c r="B18" s="57" t="inlineStr">
        <is>
          <t>PayPal Donation</t>
        </is>
      </c>
      <c r="C18" s="45" t="inlineStr">
        <is>
          <t>Individual</t>
        </is>
      </c>
      <c r="D18" s="37" t="n">
        <v>1000</v>
      </c>
      <c r="E18" s="22" t="inlineStr">
        <is>
          <t>PayPal</t>
        </is>
      </c>
      <c r="F18" s="22" t="inlineStr">
        <is>
          <t>Feb</t>
        </is>
      </c>
      <c r="G18" s="45" t="n"/>
      <c r="H18" s="22" t="n"/>
    </row>
    <row r="19">
      <c r="A19" s="54" t="n">
        <v>45700</v>
      </c>
      <c r="B19" s="55" t="inlineStr">
        <is>
          <t>PayPal Subscription</t>
        </is>
      </c>
      <c r="C19" s="42" t="inlineStr">
        <is>
          <t>Recurring</t>
        </is>
      </c>
      <c r="D19" s="33" t="n">
        <v>250</v>
      </c>
      <c r="E19" s="20" t="inlineStr">
        <is>
          <t>PayPal</t>
        </is>
      </c>
      <c r="F19" s="20" t="inlineStr">
        <is>
          <t>Feb</t>
        </is>
      </c>
      <c r="G19" s="42" t="n"/>
      <c r="H19" s="20" t="n"/>
    </row>
    <row r="20">
      <c r="A20" s="56" t="n">
        <v>45707</v>
      </c>
      <c r="B20" s="57" t="inlineStr">
        <is>
          <t>TCB Deposit</t>
        </is>
      </c>
      <c r="C20" s="45" t="inlineStr">
        <is>
          <t>Grant/Major</t>
        </is>
      </c>
      <c r="D20" s="37" t="n">
        <v>1000</v>
      </c>
      <c r="E20" s="22" t="inlineStr">
        <is>
          <t>Bank</t>
        </is>
      </c>
      <c r="F20" s="22" t="inlineStr">
        <is>
          <t>Feb</t>
        </is>
      </c>
      <c r="G20" s="45" t="n"/>
      <c r="H20" s="22" t="n"/>
    </row>
    <row r="21">
      <c r="A21" s="54" t="n">
        <v>45728</v>
      </c>
      <c r="B21" s="55" t="inlineStr">
        <is>
          <t>PayPal Subscription</t>
        </is>
      </c>
      <c r="C21" s="42" t="inlineStr">
        <is>
          <t>Recurring</t>
        </is>
      </c>
      <c r="D21" s="33" t="n">
        <v>250</v>
      </c>
      <c r="E21" s="20" t="inlineStr">
        <is>
          <t>PayPal</t>
        </is>
      </c>
      <c r="F21" s="20" t="inlineStr">
        <is>
          <t>Mar</t>
        </is>
      </c>
      <c r="G21" s="42" t="n"/>
      <c r="H21" s="20" t="n"/>
    </row>
    <row r="22">
      <c r="A22" s="56" t="n">
        <v>45736</v>
      </c>
      <c r="B22" s="57" t="inlineStr">
        <is>
          <t>PayPal Donation</t>
        </is>
      </c>
      <c r="C22" s="45" t="inlineStr">
        <is>
          <t>Individual</t>
        </is>
      </c>
      <c r="D22" s="37" t="n">
        <v>260</v>
      </c>
      <c r="E22" s="22" t="inlineStr">
        <is>
          <t>PayPal</t>
        </is>
      </c>
      <c r="F22" s="22" t="inlineStr">
        <is>
          <t>Mar</t>
        </is>
      </c>
      <c r="G22" s="45" t="n"/>
      <c r="H22" s="22" t="n"/>
    </row>
    <row r="23">
      <c r="A23" s="54" t="n">
        <v>45741</v>
      </c>
      <c r="B23" s="55" t="inlineStr">
        <is>
          <t>PayPal Subscription</t>
        </is>
      </c>
      <c r="C23" s="42" t="inlineStr">
        <is>
          <t>Recurring</t>
        </is>
      </c>
      <c r="D23" s="33" t="n">
        <v>53.56</v>
      </c>
      <c r="E23" s="20" t="inlineStr">
        <is>
          <t>PayPal</t>
        </is>
      </c>
      <c r="F23" s="20" t="inlineStr">
        <is>
          <t>Mar</t>
        </is>
      </c>
      <c r="G23" s="42" t="n"/>
      <c r="H23" s="20" t="n"/>
    </row>
    <row r="24">
      <c r="A24" s="56" t="n">
        <v>45759</v>
      </c>
      <c r="B24" s="57" t="inlineStr">
        <is>
          <t>PayPal Subscription</t>
        </is>
      </c>
      <c r="C24" s="45" t="inlineStr">
        <is>
          <t>Recurring</t>
        </is>
      </c>
      <c r="D24" s="37" t="n">
        <v>250</v>
      </c>
      <c r="E24" s="22" t="inlineStr">
        <is>
          <t>PayPal</t>
        </is>
      </c>
      <c r="F24" s="22" t="inlineStr">
        <is>
          <t>Apr</t>
        </is>
      </c>
      <c r="G24" s="45" t="n"/>
      <c r="H24" s="22" t="n"/>
    </row>
    <row r="25">
      <c r="A25" s="54" t="n">
        <v>45772</v>
      </c>
      <c r="B25" s="55" t="inlineStr">
        <is>
          <t>PayPal Subscription</t>
        </is>
      </c>
      <c r="C25" s="42" t="inlineStr">
        <is>
          <t>Recurring</t>
        </is>
      </c>
      <c r="D25" s="33" t="n">
        <v>53.56</v>
      </c>
      <c r="E25" s="20" t="inlineStr">
        <is>
          <t>PayPal</t>
        </is>
      </c>
      <c r="F25" s="20" t="inlineStr">
        <is>
          <t>Apr</t>
        </is>
      </c>
      <c r="G25" s="42" t="n"/>
      <c r="H25" s="20" t="n"/>
    </row>
    <row r="26">
      <c r="A26" s="56" t="n">
        <v>45789</v>
      </c>
      <c r="B26" s="57" t="inlineStr">
        <is>
          <t>PayPal Subscription</t>
        </is>
      </c>
      <c r="C26" s="45" t="inlineStr">
        <is>
          <t>Recurring</t>
        </is>
      </c>
      <c r="D26" s="37" t="n">
        <v>250</v>
      </c>
      <c r="E26" s="22" t="inlineStr">
        <is>
          <t>PayPal</t>
        </is>
      </c>
      <c r="F26" s="22" t="inlineStr">
        <is>
          <t>May</t>
        </is>
      </c>
      <c r="G26" s="45" t="n"/>
      <c r="H26" s="22" t="n"/>
    </row>
    <row r="27">
      <c r="A27" s="54" t="n">
        <v>45792</v>
      </c>
      <c r="B27" s="55" t="inlineStr">
        <is>
          <t>PayPal Donation</t>
        </is>
      </c>
      <c r="C27" s="42" t="inlineStr">
        <is>
          <t>Individual</t>
        </is>
      </c>
      <c r="D27" s="33" t="n">
        <v>41.31</v>
      </c>
      <c r="E27" s="20" t="inlineStr">
        <is>
          <t>PayPal</t>
        </is>
      </c>
      <c r="F27" s="20" t="inlineStr">
        <is>
          <t>May</t>
        </is>
      </c>
      <c r="G27" s="42" t="n"/>
      <c r="H27" s="20" t="n"/>
    </row>
    <row r="28">
      <c r="A28" s="56" t="n">
        <v>45797</v>
      </c>
      <c r="B28" s="57" t="inlineStr">
        <is>
          <t>TCB Deposit</t>
        </is>
      </c>
      <c r="C28" s="45" t="inlineStr">
        <is>
          <t>Grant/Major</t>
        </is>
      </c>
      <c r="D28" s="37" t="n">
        <v>2075</v>
      </c>
      <c r="E28" s="22" t="inlineStr">
        <is>
          <t>Bank</t>
        </is>
      </c>
      <c r="F28" s="22" t="inlineStr">
        <is>
          <t>May</t>
        </is>
      </c>
      <c r="G28" s="45" t="n"/>
      <c r="H28" s="22" t="n"/>
    </row>
    <row r="29">
      <c r="A29" s="54" t="n">
        <v>45802</v>
      </c>
      <c r="B29" s="55" t="inlineStr">
        <is>
          <t>PayPal Subscription</t>
        </is>
      </c>
      <c r="C29" s="42" t="inlineStr">
        <is>
          <t>Recurring</t>
        </is>
      </c>
      <c r="D29" s="33" t="n">
        <v>53.56</v>
      </c>
      <c r="E29" s="20" t="inlineStr">
        <is>
          <t>PayPal</t>
        </is>
      </c>
      <c r="F29" s="20" t="inlineStr">
        <is>
          <t>May</t>
        </is>
      </c>
      <c r="G29" s="42" t="n"/>
      <c r="H29" s="20" t="n"/>
    </row>
    <row r="30">
      <c r="A30" s="56" t="n">
        <v>45820</v>
      </c>
      <c r="B30" s="57" t="inlineStr">
        <is>
          <t>PayPal Subscription</t>
        </is>
      </c>
      <c r="C30" s="45" t="inlineStr">
        <is>
          <t>Recurring</t>
        </is>
      </c>
      <c r="D30" s="37" t="n">
        <v>250</v>
      </c>
      <c r="E30" s="22" t="inlineStr">
        <is>
          <t>PayPal</t>
        </is>
      </c>
      <c r="F30" s="22" t="inlineStr">
        <is>
          <t>Jun</t>
        </is>
      </c>
      <c r="G30" s="45" t="n"/>
      <c r="H30" s="22" t="n"/>
    </row>
    <row r="31">
      <c r="A31" s="54" t="n">
        <v>45833</v>
      </c>
      <c r="B31" s="55" t="inlineStr">
        <is>
          <t>PayPal Subscription</t>
        </is>
      </c>
      <c r="C31" s="42" t="inlineStr">
        <is>
          <t>Recurring</t>
        </is>
      </c>
      <c r="D31" s="33" t="n">
        <v>53.56</v>
      </c>
      <c r="E31" s="20" t="inlineStr">
        <is>
          <t>PayPal</t>
        </is>
      </c>
      <c r="F31" s="20" t="inlineStr">
        <is>
          <t>Jun</t>
        </is>
      </c>
      <c r="G31" s="42" t="n"/>
      <c r="H31" s="20" t="n"/>
    </row>
    <row r="32">
      <c r="A32" s="56" t="n">
        <v>45849</v>
      </c>
      <c r="B32" s="57" t="inlineStr">
        <is>
          <t>TCB Deposit</t>
        </is>
      </c>
      <c r="C32" s="45" t="inlineStr">
        <is>
          <t>Grant/Major</t>
        </is>
      </c>
      <c r="D32" s="37" t="n">
        <v>30000</v>
      </c>
      <c r="E32" s="22" t="inlineStr">
        <is>
          <t>Bank</t>
        </is>
      </c>
      <c r="F32" s="22" t="inlineStr">
        <is>
          <t>Jul</t>
        </is>
      </c>
      <c r="G32" s="45" t="n"/>
      <c r="H32" s="22" t="n"/>
    </row>
    <row r="33">
      <c r="A33" s="54" t="n">
        <v>45850</v>
      </c>
      <c r="B33" s="55" t="inlineStr">
        <is>
          <t>PayPal Subscription</t>
        </is>
      </c>
      <c r="C33" s="42" t="inlineStr">
        <is>
          <t>Recurring</t>
        </is>
      </c>
      <c r="D33" s="33" t="n">
        <v>250</v>
      </c>
      <c r="E33" s="20" t="inlineStr">
        <is>
          <t>PayPal</t>
        </is>
      </c>
      <c r="F33" s="20" t="inlineStr">
        <is>
          <t>Jul</t>
        </is>
      </c>
      <c r="G33" s="42" t="n"/>
      <c r="H33" s="20" t="n"/>
    </row>
    <row r="34">
      <c r="A34" s="56" t="n">
        <v>45863</v>
      </c>
      <c r="B34" s="57" t="inlineStr">
        <is>
          <t>PayPal Subscription</t>
        </is>
      </c>
      <c r="C34" s="45" t="inlineStr">
        <is>
          <t>Recurring</t>
        </is>
      </c>
      <c r="D34" s="37" t="n">
        <v>53.56</v>
      </c>
      <c r="E34" s="22" t="inlineStr">
        <is>
          <t>PayPal</t>
        </is>
      </c>
      <c r="F34" s="22" t="inlineStr">
        <is>
          <t>Jul</t>
        </is>
      </c>
      <c r="G34" s="45" t="n"/>
      <c r="H34" s="22" t="n"/>
    </row>
    <row r="35">
      <c r="A35" s="54" t="n">
        <v>45881</v>
      </c>
      <c r="B35" s="55" t="inlineStr">
        <is>
          <t>TCB &lt;- PayPal sweep</t>
        </is>
      </c>
      <c r="C35" s="42" t="inlineStr">
        <is>
          <t>Transfer</t>
        </is>
      </c>
      <c r="D35" s="33" t="n">
        <v>4747.16</v>
      </c>
      <c r="E35" s="20" t="inlineStr">
        <is>
          <t>Bank</t>
        </is>
      </c>
      <c r="F35" s="20" t="inlineStr">
        <is>
          <t>Aug</t>
        </is>
      </c>
      <c r="G35" s="42" t="inlineStr">
        <is>
          <t>Internal transfer - excluded from Total Raised</t>
        </is>
      </c>
      <c r="H35" s="20" t="n"/>
    </row>
    <row r="36">
      <c r="A36" s="56" t="n">
        <v>45881</v>
      </c>
      <c r="B36" s="57" t="inlineStr">
        <is>
          <t>PayPal Subscription</t>
        </is>
      </c>
      <c r="C36" s="45" t="inlineStr">
        <is>
          <t>Recurring</t>
        </is>
      </c>
      <c r="D36" s="37" t="n">
        <v>250</v>
      </c>
      <c r="E36" s="22" t="inlineStr">
        <is>
          <t>PayPal</t>
        </is>
      </c>
      <c r="F36" s="22" t="inlineStr">
        <is>
          <t>Aug</t>
        </is>
      </c>
      <c r="G36" s="45" t="n"/>
      <c r="H36" s="22" t="n"/>
    </row>
    <row r="37">
      <c r="A37" s="54" t="n">
        <v>45894</v>
      </c>
      <c r="B37" s="55" t="inlineStr">
        <is>
          <t>PayPal Subscription</t>
        </is>
      </c>
      <c r="C37" s="42" t="inlineStr">
        <is>
          <t>Recurring</t>
        </is>
      </c>
      <c r="D37" s="33" t="n">
        <v>53.56</v>
      </c>
      <c r="E37" s="20" t="inlineStr">
        <is>
          <t>PayPal</t>
        </is>
      </c>
      <c r="F37" s="20" t="inlineStr">
        <is>
          <t>Aug</t>
        </is>
      </c>
      <c r="G37" s="42" t="n"/>
      <c r="H37" s="20" t="n"/>
    </row>
    <row r="38">
      <c r="A38" s="56" t="n">
        <v>45912</v>
      </c>
      <c r="B38" s="57" t="inlineStr">
        <is>
          <t>PayPal Subscription</t>
        </is>
      </c>
      <c r="C38" s="45" t="inlineStr">
        <is>
          <t>Recurring</t>
        </is>
      </c>
      <c r="D38" s="37" t="n">
        <v>250</v>
      </c>
      <c r="E38" s="22" t="inlineStr">
        <is>
          <t>PayPal</t>
        </is>
      </c>
      <c r="F38" s="22" t="inlineStr">
        <is>
          <t>Sep</t>
        </is>
      </c>
      <c r="G38" s="45" t="n"/>
      <c r="H38" s="22" t="n"/>
    </row>
    <row r="39">
      <c r="A39" s="54" t="n">
        <v>45923</v>
      </c>
      <c r="B39" s="55" t="inlineStr">
        <is>
          <t>Bonterra</t>
        </is>
      </c>
      <c r="C39" s="42" t="inlineStr">
        <is>
          <t>Online Platform</t>
        </is>
      </c>
      <c r="D39" s="33" t="n">
        <v>20</v>
      </c>
      <c r="E39" s="20" t="inlineStr">
        <is>
          <t>Bonterra</t>
        </is>
      </c>
      <c r="F39" s="20" t="inlineStr">
        <is>
          <t>Sep</t>
        </is>
      </c>
      <c r="G39" s="42" t="n"/>
      <c r="H39" s="20" t="n"/>
    </row>
    <row r="40">
      <c r="A40" s="56" t="n">
        <v>45924</v>
      </c>
      <c r="B40" s="57" t="inlineStr">
        <is>
          <t>Bonterra</t>
        </is>
      </c>
      <c r="C40" s="45" t="inlineStr">
        <is>
          <t>Online Platform</t>
        </is>
      </c>
      <c r="D40" s="37" t="n">
        <v>100</v>
      </c>
      <c r="E40" s="22" t="inlineStr">
        <is>
          <t>Bonterra</t>
        </is>
      </c>
      <c r="F40" s="22" t="inlineStr">
        <is>
          <t>Sep</t>
        </is>
      </c>
      <c r="G40" s="45" t="n"/>
      <c r="H40" s="22" t="n"/>
    </row>
    <row r="41">
      <c r="A41" s="54" t="n">
        <v>45925</v>
      </c>
      <c r="B41" s="55" t="inlineStr">
        <is>
          <t>PayPal Subscription</t>
        </is>
      </c>
      <c r="C41" s="42" t="inlineStr">
        <is>
          <t>Recurring</t>
        </is>
      </c>
      <c r="D41" s="33" t="n">
        <v>53.56</v>
      </c>
      <c r="E41" s="20" t="inlineStr">
        <is>
          <t>PayPal</t>
        </is>
      </c>
      <c r="F41" s="20" t="inlineStr">
        <is>
          <t>Sep</t>
        </is>
      </c>
      <c r="G41" s="42" t="n"/>
      <c r="H41" s="20" t="n"/>
    </row>
    <row r="42">
      <c r="A42" s="56" t="n">
        <v>45925</v>
      </c>
      <c r="B42" s="57" t="inlineStr">
        <is>
          <t>Bonterra</t>
        </is>
      </c>
      <c r="C42" s="45" t="inlineStr">
        <is>
          <t>Online Platform</t>
        </is>
      </c>
      <c r="D42" s="37" t="n">
        <v>242</v>
      </c>
      <c r="E42" s="22" t="inlineStr">
        <is>
          <t>Bonterra</t>
        </is>
      </c>
      <c r="F42" s="22" t="inlineStr">
        <is>
          <t>Sep</t>
        </is>
      </c>
      <c r="G42" s="45" t="n"/>
      <c r="H42" s="22" t="n"/>
    </row>
    <row r="43">
      <c r="A43" s="54" t="n">
        <v>45932</v>
      </c>
      <c r="B43" s="55" t="inlineStr">
        <is>
          <t>PayPal Donation</t>
        </is>
      </c>
      <c r="C43" s="42" t="inlineStr">
        <is>
          <t>Individual</t>
        </is>
      </c>
      <c r="D43" s="33" t="n">
        <v>50</v>
      </c>
      <c r="E43" s="20" t="inlineStr">
        <is>
          <t>PayPal</t>
        </is>
      </c>
      <c r="F43" s="20" t="inlineStr">
        <is>
          <t>Oct</t>
        </is>
      </c>
      <c r="G43" s="42" t="n"/>
      <c r="H43" s="20" t="n"/>
    </row>
    <row r="44">
      <c r="A44" s="56" t="n">
        <v>45942</v>
      </c>
      <c r="B44" s="57" t="inlineStr">
        <is>
          <t>PayPal Subscription</t>
        </is>
      </c>
      <c r="C44" s="45" t="inlineStr">
        <is>
          <t>Recurring</t>
        </is>
      </c>
      <c r="D44" s="37" t="n">
        <v>250</v>
      </c>
      <c r="E44" s="22" t="inlineStr">
        <is>
          <t>PayPal</t>
        </is>
      </c>
      <c r="F44" s="22" t="inlineStr">
        <is>
          <t>Oct</t>
        </is>
      </c>
      <c r="G44" s="45" t="n"/>
      <c r="H44" s="22" t="n"/>
    </row>
    <row r="45">
      <c r="A45" s="54" t="n">
        <v>45955</v>
      </c>
      <c r="B45" s="55" t="inlineStr">
        <is>
          <t>PayPal Subscription</t>
        </is>
      </c>
      <c r="C45" s="42" t="inlineStr">
        <is>
          <t>Recurring</t>
        </is>
      </c>
      <c r="D45" s="33" t="n">
        <v>53.56</v>
      </c>
      <c r="E45" s="20" t="inlineStr">
        <is>
          <t>PayPal</t>
        </is>
      </c>
      <c r="F45" s="20" t="inlineStr">
        <is>
          <t>Oct</t>
        </is>
      </c>
      <c r="G45" s="42" t="n"/>
      <c r="H45" s="20" t="n"/>
    </row>
    <row r="46">
      <c r="A46" s="56" t="n">
        <v>45973</v>
      </c>
      <c r="B46" s="57" t="inlineStr">
        <is>
          <t>PayPal Subscription</t>
        </is>
      </c>
      <c r="C46" s="45" t="inlineStr">
        <is>
          <t>Recurring</t>
        </is>
      </c>
      <c r="D46" s="37" t="n">
        <v>250</v>
      </c>
      <c r="E46" s="22" t="inlineStr">
        <is>
          <t>PayPal</t>
        </is>
      </c>
      <c r="F46" s="22" t="inlineStr">
        <is>
          <t>Nov</t>
        </is>
      </c>
      <c r="G46" s="45" t="n"/>
      <c r="H46" s="22" t="n"/>
    </row>
    <row r="47">
      <c r="A47" s="54" t="n">
        <v>45986</v>
      </c>
      <c r="B47" s="55" t="inlineStr">
        <is>
          <t>PayPal Subscription</t>
        </is>
      </c>
      <c r="C47" s="42" t="inlineStr">
        <is>
          <t>Recurring</t>
        </is>
      </c>
      <c r="D47" s="33" t="n">
        <v>53.56</v>
      </c>
      <c r="E47" s="20" t="inlineStr">
        <is>
          <t>PayPal</t>
        </is>
      </c>
      <c r="F47" s="20" t="inlineStr">
        <is>
          <t>Nov</t>
        </is>
      </c>
      <c r="G47" s="42" t="n"/>
      <c r="H47" s="20" t="n"/>
    </row>
    <row r="48">
      <c r="A48" s="56" t="n">
        <v>46003</v>
      </c>
      <c r="B48" s="57" t="inlineStr">
        <is>
          <t>PayPal Subscription</t>
        </is>
      </c>
      <c r="C48" s="45" t="inlineStr">
        <is>
          <t>Recurring</t>
        </is>
      </c>
      <c r="D48" s="37" t="n">
        <v>250</v>
      </c>
      <c r="E48" s="22" t="inlineStr">
        <is>
          <t>PayPal</t>
        </is>
      </c>
      <c r="F48" s="22" t="inlineStr">
        <is>
          <t>Dec</t>
        </is>
      </c>
      <c r="G48" s="45" t="n"/>
      <c r="H48" s="22" t="n"/>
    </row>
    <row r="49">
      <c r="A49" s="54" t="n">
        <v>46007</v>
      </c>
      <c r="B49" s="55" t="inlineStr">
        <is>
          <t>PayPal Subscription</t>
        </is>
      </c>
      <c r="C49" s="42" t="inlineStr">
        <is>
          <t>Recurring</t>
        </is>
      </c>
      <c r="D49" s="33" t="n">
        <v>750</v>
      </c>
      <c r="E49" s="20" t="inlineStr">
        <is>
          <t>PayPal</t>
        </is>
      </c>
      <c r="F49" s="20" t="inlineStr">
        <is>
          <t>Dec</t>
        </is>
      </c>
      <c r="G49" s="42" t="n"/>
      <c r="H49" s="20" t="n"/>
    </row>
    <row r="50">
      <c r="A50" s="56" t="n">
        <v>46008</v>
      </c>
      <c r="B50" s="57" t="inlineStr">
        <is>
          <t>PayPal Donation</t>
        </is>
      </c>
      <c r="C50" s="45" t="inlineStr">
        <is>
          <t>Individual</t>
        </is>
      </c>
      <c r="D50" s="37" t="n">
        <v>5</v>
      </c>
      <c r="E50" s="22" t="inlineStr">
        <is>
          <t>PayPal</t>
        </is>
      </c>
      <c r="F50" s="22" t="inlineStr">
        <is>
          <t>Dec</t>
        </is>
      </c>
      <c r="G50" s="45" t="n"/>
      <c r="H50" s="22" t="n"/>
    </row>
    <row r="51">
      <c r="A51" s="54" t="n">
        <v>46009</v>
      </c>
      <c r="B51" s="55" t="inlineStr">
        <is>
          <t>TCB Deposit</t>
        </is>
      </c>
      <c r="C51" s="42" t="inlineStr">
        <is>
          <t>Grant/Major</t>
        </is>
      </c>
      <c r="D51" s="33" t="n">
        <v>93.22</v>
      </c>
      <c r="E51" s="20" t="inlineStr">
        <is>
          <t>Bank</t>
        </is>
      </c>
      <c r="F51" s="20" t="inlineStr">
        <is>
          <t>Dec</t>
        </is>
      </c>
      <c r="G51" s="42" t="n"/>
      <c r="H51" s="20" t="n"/>
    </row>
    <row r="52">
      <c r="A52" s="56" t="n">
        <v>46009</v>
      </c>
      <c r="B52" s="57" t="inlineStr">
        <is>
          <t>TCB Deposit</t>
        </is>
      </c>
      <c r="C52" s="45" t="inlineStr">
        <is>
          <t>Grant/Major</t>
        </is>
      </c>
      <c r="D52" s="37" t="n">
        <v>110000</v>
      </c>
      <c r="E52" s="22" t="inlineStr">
        <is>
          <t>Bank</t>
        </is>
      </c>
      <c r="F52" s="22" t="inlineStr">
        <is>
          <t>Dec</t>
        </is>
      </c>
      <c r="G52" s="45" t="inlineStr">
        <is>
          <t>Major grant</t>
        </is>
      </c>
      <c r="H52" s="22" t="n"/>
    </row>
    <row r="53">
      <c r="A53" s="54" t="n">
        <v>46016</v>
      </c>
      <c r="B53" s="55" t="inlineStr">
        <is>
          <t>PayPal Subscription</t>
        </is>
      </c>
      <c r="C53" s="42" t="inlineStr">
        <is>
          <t>Recurring</t>
        </is>
      </c>
      <c r="D53" s="33" t="n">
        <v>53.56</v>
      </c>
      <c r="E53" s="20" t="inlineStr">
        <is>
          <t>PayPal</t>
        </is>
      </c>
      <c r="F53" s="20" t="inlineStr">
        <is>
          <t>Dec</t>
        </is>
      </c>
      <c r="G53" s="42" t="n"/>
      <c r="H53" s="20" t="n"/>
    </row>
    <row r="54">
      <c r="A54" s="56" t="n">
        <v>46038</v>
      </c>
      <c r="B54" s="57" t="inlineStr">
        <is>
          <t>PayPal Subscription</t>
        </is>
      </c>
      <c r="C54" s="45" t="inlineStr">
        <is>
          <t>Recurring</t>
        </is>
      </c>
      <c r="D54" s="37" t="n">
        <v>750</v>
      </c>
      <c r="E54" s="22" t="inlineStr">
        <is>
          <t>PayPal</t>
        </is>
      </c>
      <c r="F54" s="22" t="inlineStr">
        <is>
          <t>Jan</t>
        </is>
      </c>
      <c r="G54" s="45" t="n"/>
      <c r="H54" s="22" t="n"/>
    </row>
    <row r="55">
      <c r="A55" s="54" t="n">
        <v>46047</v>
      </c>
      <c r="B55" s="55" t="inlineStr">
        <is>
          <t>PayPal Subscription</t>
        </is>
      </c>
      <c r="C55" s="42" t="inlineStr">
        <is>
          <t>Recurring</t>
        </is>
      </c>
      <c r="D55" s="33" t="n">
        <v>53.56</v>
      </c>
      <c r="E55" s="20" t="inlineStr">
        <is>
          <t>PayPal</t>
        </is>
      </c>
      <c r="F55" s="20" t="inlineStr">
        <is>
          <t>Jan</t>
        </is>
      </c>
      <c r="G55" s="42" t="n"/>
      <c r="H55" s="20" t="n"/>
    </row>
    <row r="56">
      <c r="A56" s="56" t="n">
        <v>46078</v>
      </c>
      <c r="B56" s="57" t="inlineStr">
        <is>
          <t>PayPal Subscription</t>
        </is>
      </c>
      <c r="C56" s="45" t="inlineStr">
        <is>
          <t>Recurring</t>
        </is>
      </c>
      <c r="D56" s="37" t="n">
        <v>53.56</v>
      </c>
      <c r="E56" s="22" t="inlineStr">
        <is>
          <t>PayPal</t>
        </is>
      </c>
      <c r="F56" s="22" t="inlineStr">
        <is>
          <t>Feb</t>
        </is>
      </c>
      <c r="G56" s="45" t="n"/>
      <c r="H56" s="22" t="n"/>
    </row>
    <row r="57">
      <c r="A57" s="54" t="n">
        <v>46101</v>
      </c>
      <c r="B57" s="55" t="inlineStr">
        <is>
          <t>TCB Deposit</t>
        </is>
      </c>
      <c r="C57" s="42" t="inlineStr">
        <is>
          <t>Grant/Major</t>
        </is>
      </c>
      <c r="D57" s="33" t="n">
        <v>15050</v>
      </c>
      <c r="E57" s="20" t="inlineStr">
        <is>
          <t>Bank</t>
        </is>
      </c>
      <c r="F57" s="20" t="inlineStr">
        <is>
          <t>Mar</t>
        </is>
      </c>
      <c r="G57" s="42" t="n"/>
      <c r="H57" s="20" t="n"/>
    </row>
    <row r="58">
      <c r="A58" s="56" t="n">
        <v>46105</v>
      </c>
      <c r="B58" s="57" t="inlineStr">
        <is>
          <t>TCB Deposit</t>
        </is>
      </c>
      <c r="C58" s="45" t="inlineStr">
        <is>
          <t>Grant/Major</t>
        </is>
      </c>
      <c r="D58" s="37" t="n">
        <v>500</v>
      </c>
      <c r="E58" s="22" t="inlineStr">
        <is>
          <t>Bank</t>
        </is>
      </c>
      <c r="F58" s="22" t="inlineStr">
        <is>
          <t>Mar</t>
        </is>
      </c>
      <c r="G58" s="45" t="n"/>
      <c r="H58" s="22" t="n"/>
    </row>
    <row r="59">
      <c r="A59" s="54" t="n">
        <v>46106</v>
      </c>
      <c r="B59" s="55" t="inlineStr">
        <is>
          <t>PayPal Subscription</t>
        </is>
      </c>
      <c r="C59" s="42" t="inlineStr">
        <is>
          <t>Recurring</t>
        </is>
      </c>
      <c r="D59" s="33" t="n">
        <v>53.56</v>
      </c>
      <c r="E59" s="20" t="inlineStr">
        <is>
          <t>PayPal</t>
        </is>
      </c>
      <c r="F59" s="20" t="inlineStr">
        <is>
          <t>Mar</t>
        </is>
      </c>
      <c r="G59" s="42" t="n"/>
      <c r="H59" s="20" t="n"/>
    </row>
    <row r="60">
      <c r="A60" s="56" t="n">
        <v>46108</v>
      </c>
      <c r="B60" s="57" t="inlineStr">
        <is>
          <t>TCB Chargeback</t>
        </is>
      </c>
      <c r="C60" s="45" t="inlineStr">
        <is>
          <t>Chargeback</t>
        </is>
      </c>
      <c r="D60" s="37" t="n">
        <v>-500</v>
      </c>
      <c r="E60" s="22" t="inlineStr">
        <is>
          <t>Bank</t>
        </is>
      </c>
      <c r="F60" s="22" t="inlineStr">
        <is>
          <t>Mar</t>
        </is>
      </c>
      <c r="G60" s="45" t="inlineStr">
        <is>
          <t>Donor-reversed gift</t>
        </is>
      </c>
      <c r="H60" s="22" t="n"/>
    </row>
    <row r="61">
      <c r="A61" s="54" t="n">
        <v>46123</v>
      </c>
      <c r="B61" s="55" t="inlineStr">
        <is>
          <t>PayPal Donation</t>
        </is>
      </c>
      <c r="C61" s="42" t="inlineStr">
        <is>
          <t>Individual</t>
        </is>
      </c>
      <c r="D61" s="33" t="n">
        <v>5</v>
      </c>
      <c r="E61" s="20" t="inlineStr">
        <is>
          <t>PayPal</t>
        </is>
      </c>
      <c r="F61" s="20" t="inlineStr">
        <is>
          <t>Apr</t>
        </is>
      </c>
      <c r="G61" s="42" t="n"/>
      <c r="H61" s="20" t="n"/>
    </row>
    <row r="62">
      <c r="A62" s="56" t="n">
        <v>46129</v>
      </c>
      <c r="B62" s="57" t="inlineStr">
        <is>
          <t>TCB Deposit</t>
        </is>
      </c>
      <c r="C62" s="45" t="inlineStr">
        <is>
          <t>Grant/Major</t>
        </is>
      </c>
      <c r="D62" s="37" t="n">
        <v>2029.13</v>
      </c>
      <c r="E62" s="22" t="inlineStr">
        <is>
          <t>Bank</t>
        </is>
      </c>
      <c r="F62" s="22" t="inlineStr">
        <is>
          <t>Apr</t>
        </is>
      </c>
      <c r="G62" s="45" t="n"/>
      <c r="H62" s="22" t="n"/>
    </row>
    <row r="63">
      <c r="A63" s="54" t="n">
        <v>46137</v>
      </c>
      <c r="B63" s="55" t="inlineStr">
        <is>
          <t>PayPal Subscription</t>
        </is>
      </c>
      <c r="C63" s="42" t="inlineStr">
        <is>
          <t>Recurring</t>
        </is>
      </c>
      <c r="D63" s="33" t="n">
        <v>53.56</v>
      </c>
      <c r="E63" s="20" t="inlineStr">
        <is>
          <t>PayPal</t>
        </is>
      </c>
      <c r="F63" s="20" t="inlineStr">
        <is>
          <t>Apr</t>
        </is>
      </c>
      <c r="G63" s="42" t="n"/>
      <c r="H63" s="20" t="n"/>
    </row>
    <row r="64">
      <c r="A64" s="56" t="n">
        <v>46140</v>
      </c>
      <c r="B64" s="57" t="inlineStr">
        <is>
          <t>PayPal Giving Fund</t>
        </is>
      </c>
      <c r="C64" s="45" t="inlineStr">
        <is>
          <t>Platform</t>
        </is>
      </c>
      <c r="D64" s="37" t="n">
        <v>50</v>
      </c>
      <c r="E64" s="22" t="inlineStr">
        <is>
          <t>PayPal</t>
        </is>
      </c>
      <c r="F64" s="22" t="inlineStr">
        <is>
          <t>Apr</t>
        </is>
      </c>
      <c r="G64" s="45" t="n"/>
      <c r="H64" s="22" t="n"/>
    </row>
    <row r="65">
      <c r="A65" s="54" t="n">
        <v>46143</v>
      </c>
      <c r="B65" s="55" t="inlineStr">
        <is>
          <t>PayPal Donation</t>
        </is>
      </c>
      <c r="C65" s="42" t="inlineStr">
        <is>
          <t>Individual</t>
        </is>
      </c>
      <c r="D65" s="33" t="n">
        <v>50</v>
      </c>
      <c r="E65" s="20" t="inlineStr">
        <is>
          <t>PayPal</t>
        </is>
      </c>
      <c r="F65" s="20" t="inlineStr">
        <is>
          <t>May</t>
        </is>
      </c>
      <c r="G65" s="42" t="n"/>
      <c r="H65" s="20" t="n"/>
    </row>
    <row r="66">
      <c r="A66" s="56" t="n">
        <v>46160</v>
      </c>
      <c r="B66" s="57" t="inlineStr">
        <is>
          <t>TCB Deposit</t>
        </is>
      </c>
      <c r="C66" s="45" t="inlineStr">
        <is>
          <t>Grant/Major</t>
        </is>
      </c>
      <c r="D66" s="37" t="n">
        <v>2100</v>
      </c>
      <c r="E66" s="22" t="inlineStr">
        <is>
          <t>Bank</t>
        </is>
      </c>
      <c r="F66" s="22" t="inlineStr">
        <is>
          <t>May</t>
        </is>
      </c>
      <c r="G66" s="45" t="n"/>
      <c r="H66" s="22" t="n"/>
    </row>
    <row r="67">
      <c r="A67" s="54" t="n">
        <v>46167</v>
      </c>
      <c r="B67" s="55" t="inlineStr">
        <is>
          <t>PayPal Subscription</t>
        </is>
      </c>
      <c r="C67" s="42" t="inlineStr">
        <is>
          <t>Recurring</t>
        </is>
      </c>
      <c r="D67" s="33" t="n">
        <v>53.56</v>
      </c>
      <c r="E67" s="20" t="inlineStr">
        <is>
          <t>PayPal</t>
        </is>
      </c>
      <c r="F67" s="20" t="inlineStr">
        <is>
          <t>May</t>
        </is>
      </c>
      <c r="G67" s="42" t="n"/>
      <c r="H67" s="20" t="n"/>
    </row>
    <row r="68">
      <c r="A68" s="56" t="n">
        <v>46170</v>
      </c>
      <c r="B68" s="57" t="inlineStr">
        <is>
          <t>PayPal Donation</t>
        </is>
      </c>
      <c r="C68" s="45" t="inlineStr">
        <is>
          <t>Individual</t>
        </is>
      </c>
      <c r="D68" s="37" t="n">
        <v>20</v>
      </c>
      <c r="E68" s="22" t="inlineStr">
        <is>
          <t>PayPal</t>
        </is>
      </c>
      <c r="F68" s="22" t="inlineStr">
        <is>
          <t>May</t>
        </is>
      </c>
      <c r="G68" s="45" t="n"/>
      <c r="H68" s="22" t="n"/>
    </row>
    <row r="69">
      <c r="A69" s="20" t="n"/>
      <c r="B69" s="55" t="n"/>
      <c r="C69" s="20" t="n"/>
      <c r="D69" s="33" t="n"/>
      <c r="E69" s="20" t="n"/>
      <c r="F69" s="20" t="n"/>
      <c r="G69" s="20" t="n"/>
      <c r="H69" s="20" t="n"/>
    </row>
    <row r="70">
      <c r="A70" s="22" t="n"/>
      <c r="B70" s="57" t="n"/>
      <c r="C70" s="22" t="n"/>
      <c r="D70" s="37" t="n"/>
      <c r="E70" s="22" t="n"/>
      <c r="F70" s="22" t="n"/>
      <c r="G70" s="22" t="n"/>
      <c r="H70" s="22" t="n"/>
    </row>
    <row r="71">
      <c r="A71" s="20" t="n"/>
      <c r="B71" s="55" t="n"/>
      <c r="C71" s="20" t="n"/>
      <c r="D71" s="33" t="n"/>
      <c r="E71" s="20" t="n"/>
      <c r="F71" s="20" t="n"/>
      <c r="G71" s="20" t="n"/>
      <c r="H71" s="20" t="n"/>
    </row>
    <row r="72">
      <c r="A72" s="22" t="n"/>
      <c r="B72" s="57" t="n"/>
      <c r="C72" s="22" t="n"/>
      <c r="D72" s="37" t="n"/>
      <c r="E72" s="22" t="n"/>
      <c r="F72" s="22" t="n"/>
      <c r="G72" s="22" t="n"/>
      <c r="H72" s="22" t="n"/>
    </row>
  </sheetData>
  <mergeCells count="10">
    <mergeCell ref="A3:H3"/>
    <mergeCell ref="E6:F6"/>
    <mergeCell ref="C6:D6"/>
    <mergeCell ref="C5:D5"/>
    <mergeCell ref="A5:B5"/>
    <mergeCell ref="G5:H5"/>
    <mergeCell ref="E5:F5"/>
    <mergeCell ref="G6:H6"/>
    <mergeCell ref="A1:H2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4" customWidth="1" min="5" max="5"/>
  </cols>
  <sheetData>
    <row r="1">
      <c r="A1" s="58" t="inlineStr">
        <is>
          <t>RESERVE PROJECTION SCENARIOS</t>
        </is>
      </c>
      <c r="B1" s="2" t="n"/>
      <c r="C1" s="2" t="n"/>
      <c r="D1" s="3" t="n"/>
    </row>
    <row r="2">
      <c r="A2" s="4" t="n"/>
      <c r="B2" s="5" t="n"/>
      <c r="C2" s="5" t="n"/>
      <c r="D2" s="6" t="n"/>
    </row>
    <row r="3" ht="18" customHeight="1">
      <c r="A3" s="59" t="inlineStr">
        <is>
          <t>Same model as the fiscal report: baseline = linear trend of recurring giving and program cost on past data; optimistic/pessimistic vary the baseline net cash flow by +/-15% per year. No new grants assumed. Re-run running_budget.py to refresh.</t>
        </is>
      </c>
      <c r="B3" s="2" t="n"/>
      <c r="C3" s="2" t="n"/>
      <c r="D3" s="3" t="n"/>
    </row>
    <row r="4" ht="18" customHeight="1">
      <c r="A4" s="4" t="n"/>
      <c r="B4" s="5" t="n"/>
      <c r="C4" s="5" t="n"/>
      <c r="D4" s="6" t="n"/>
    </row>
    <row r="6">
      <c r="A6" s="24" t="inlineStr">
        <is>
          <t>Year-end</t>
        </is>
      </c>
      <c r="B6" s="24" t="inlineStr">
        <is>
          <t>Pessimistic (-15%/yr)</t>
        </is>
      </c>
      <c r="C6" s="24" t="inlineStr">
        <is>
          <t>Baseline</t>
        </is>
      </c>
      <c r="D6" s="24" t="inlineStr">
        <is>
          <t>Optimistic (+15%/yr)</t>
        </is>
      </c>
    </row>
    <row r="7">
      <c r="A7" s="20" t="inlineStr">
        <is>
          <t>Dec 2026</t>
        </is>
      </c>
      <c r="B7" s="21" t="n">
        <v>166424</v>
      </c>
      <c r="C7" s="21" t="n">
        <v>167269</v>
      </c>
      <c r="D7" s="21" t="n">
        <v>168190</v>
      </c>
    </row>
    <row r="8">
      <c r="A8" s="22" t="inlineStr">
        <is>
          <t>Dec 2027</t>
        </is>
      </c>
      <c r="B8" s="23" t="n">
        <v>113970</v>
      </c>
      <c r="C8" s="23" t="n">
        <v>122717</v>
      </c>
      <c r="D8" s="23" t="n">
        <v>131270</v>
      </c>
    </row>
    <row r="9">
      <c r="A9" s="20" t="inlineStr">
        <is>
          <t>Dec 2028</t>
        </is>
      </c>
      <c r="B9" s="21" t="n">
        <v>26295</v>
      </c>
      <c r="C9" s="21" t="n">
        <v>57858</v>
      </c>
      <c r="D9" s="21" t="n">
        <v>85494</v>
      </c>
    </row>
    <row r="10">
      <c r="A10" s="22" t="inlineStr">
        <is>
          <t>Dec 2029</t>
        </is>
      </c>
      <c r="B10" s="23" t="n">
        <v>-105589</v>
      </c>
      <c r="C10" s="23" t="n">
        <v>-27062</v>
      </c>
      <c r="D10" s="23" t="n">
        <v>34493</v>
      </c>
    </row>
  </sheetData>
  <mergeCells count="2">
    <mergeCell ref="A3:D4"/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30" customWidth="1" min="8" max="8"/>
  </cols>
  <sheetData>
    <row r="1">
      <c r="A1" s="48" t="inlineStr">
        <is>
          <t>FUNDRAISING PIPELINE &amp; GRANT PLANNER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n"/>
      <c r="B2" s="5" t="n"/>
      <c r="C2" s="5" t="n"/>
      <c r="D2" s="5" t="n"/>
      <c r="E2" s="5" t="n"/>
      <c r="F2" s="5" t="n"/>
      <c r="G2" s="5" t="n"/>
      <c r="H2" s="6" t="n"/>
    </row>
    <row r="3">
      <c r="A3" s="60" t="inlineStr">
        <is>
          <t>Track every grant, campaign, and donor here. Blue = enter data. Totals update automatically.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4" t="n"/>
      <c r="B4" s="5" t="n"/>
      <c r="C4" s="5" t="n"/>
      <c r="D4" s="5" t="n"/>
      <c r="E4" s="5" t="n"/>
      <c r="F4" s="5" t="n"/>
      <c r="G4" s="5" t="n"/>
      <c r="H4" s="6" t="n"/>
    </row>
    <row r="6" ht="28" customHeight="1">
      <c r="A6" s="13" t="inlineStr">
        <is>
          <t>Source / Grant / Event</t>
        </is>
      </c>
      <c r="B6" s="13" t="inlineStr">
        <is>
          <t>Type</t>
        </is>
      </c>
      <c r="C6" s="13" t="inlineStr">
        <is>
          <t>Target ($)</t>
        </is>
      </c>
      <c r="D6" s="13" t="inlineStr">
        <is>
          <t>Raised ($)</t>
        </is>
      </c>
      <c r="E6" s="13" t="inlineStr">
        <is>
          <t>Status</t>
        </is>
      </c>
      <c r="F6" s="13" t="inlineStr">
        <is>
          <t>Expected Date</t>
        </is>
      </c>
      <c r="G6" s="13" t="inlineStr">
        <is>
          <t>Lead</t>
        </is>
      </c>
      <c r="H6" s="13" t="inlineStr">
        <is>
          <t>Notes</t>
        </is>
      </c>
    </row>
    <row r="7">
      <c r="A7" s="42" t="inlineStr">
        <is>
          <t>PayPal recurring subscriptions</t>
        </is>
      </c>
      <c r="B7" s="55" t="inlineStr">
        <is>
          <t>Individual Recurring</t>
        </is>
      </c>
      <c r="C7" s="43" t="n"/>
      <c r="D7" s="43" t="n">
        <v>5803.4</v>
      </c>
      <c r="E7" s="20" t="inlineStr">
        <is>
          <t>Active</t>
        </is>
      </c>
      <c r="F7" s="20" t="inlineStr">
        <is>
          <t>Monthly</t>
        </is>
      </c>
      <c r="G7" s="20" t="n"/>
      <c r="H7" s="42" t="inlineStr">
        <is>
          <t>Two monthly subscriptions ($250/mo + $53.56/mo)</t>
        </is>
      </c>
    </row>
    <row r="8">
      <c r="A8" s="45" t="inlineStr">
        <is>
          <t>Bonterra online giving</t>
        </is>
      </c>
      <c r="B8" s="57" t="inlineStr">
        <is>
          <t>Online Platform</t>
        </is>
      </c>
      <c r="C8" s="46" t="n"/>
      <c r="D8" s="46" t="n">
        <v>362</v>
      </c>
      <c r="E8" s="22" t="inlineStr">
        <is>
          <t>Active</t>
        </is>
      </c>
      <c r="F8" s="22" t="inlineStr">
        <is>
          <t>Ongoing</t>
        </is>
      </c>
      <c r="G8" s="22" t="n"/>
      <c r="H8" s="45" t="inlineStr">
        <is>
          <t>Live platform</t>
        </is>
      </c>
    </row>
    <row r="9">
      <c r="A9" s="42" t="inlineStr">
        <is>
          <t>Bank deposits (grants &amp; major gifts)</t>
        </is>
      </c>
      <c r="B9" s="55" t="inlineStr">
        <is>
          <t>Grant/Major</t>
        </is>
      </c>
      <c r="C9" s="43" t="n"/>
      <c r="D9" s="43" t="n">
        <v>188047.35</v>
      </c>
      <c r="E9" s="20" t="inlineStr">
        <is>
          <t>Received</t>
        </is>
      </c>
      <c r="F9" s="20" t="inlineStr">
        <is>
          <t>All years to date</t>
        </is>
      </c>
      <c r="G9" s="20" t="n"/>
      <c r="H9" s="42" t="inlineStr">
        <is>
          <t>Largest single deposit: $110,000</t>
        </is>
      </c>
    </row>
    <row r="10">
      <c r="A10" s="57" t="n"/>
      <c r="B10" s="57" t="n"/>
      <c r="C10" s="46" t="n"/>
      <c r="D10" s="46" t="n"/>
      <c r="E10" s="22" t="n"/>
      <c r="F10" s="22" t="n"/>
      <c r="G10" s="22" t="n"/>
      <c r="H10" s="45" t="n"/>
    </row>
    <row r="11">
      <c r="A11" s="55" t="n"/>
      <c r="B11" s="55" t="n"/>
      <c r="C11" s="43" t="n"/>
      <c r="D11" s="43" t="n"/>
      <c r="E11" s="20" t="n"/>
      <c r="F11" s="20" t="n"/>
      <c r="G11" s="20" t="n"/>
      <c r="H11" s="42" t="n"/>
    </row>
    <row r="12">
      <c r="A12" s="57" t="n"/>
      <c r="B12" s="57" t="n"/>
      <c r="C12" s="46" t="n"/>
      <c r="D12" s="46" t="n"/>
      <c r="E12" s="22" t="n"/>
      <c r="F12" s="22" t="n"/>
      <c r="G12" s="22" t="n"/>
      <c r="H12" s="45" t="n"/>
    </row>
    <row r="13">
      <c r="A13" s="55" t="n"/>
      <c r="B13" s="55" t="n"/>
      <c r="C13" s="43" t="n"/>
      <c r="D13" s="43" t="n"/>
      <c r="E13" s="20" t="n"/>
      <c r="F13" s="20" t="n"/>
      <c r="G13" s="20" t="n"/>
      <c r="H13" s="42" t="n"/>
    </row>
    <row r="14">
      <c r="A14" s="57" t="n"/>
      <c r="B14" s="57" t="n"/>
      <c r="C14" s="46" t="n"/>
      <c r="D14" s="46" t="n"/>
      <c r="E14" s="22" t="n"/>
      <c r="F14" s="22" t="n"/>
      <c r="G14" s="22" t="n"/>
      <c r="H14" s="45" t="n"/>
    </row>
    <row r="15">
      <c r="A15" s="55" t="n"/>
      <c r="B15" s="55" t="n"/>
      <c r="C15" s="43" t="n"/>
      <c r="D15" s="43" t="n"/>
      <c r="E15" s="20" t="n"/>
      <c r="F15" s="20" t="n"/>
      <c r="G15" s="20" t="n"/>
      <c r="H15" s="42" t="n"/>
    </row>
    <row r="16">
      <c r="A16" s="57" t="n"/>
      <c r="B16" s="57" t="n"/>
      <c r="C16" s="46" t="n"/>
      <c r="D16" s="46" t="n"/>
      <c r="E16" s="22" t="n"/>
      <c r="F16" s="22" t="n"/>
      <c r="G16" s="22" t="n"/>
      <c r="H16" s="45" t="n"/>
    </row>
    <row r="17">
      <c r="A17" s="55" t="n"/>
      <c r="B17" s="55" t="n"/>
      <c r="C17" s="43" t="n"/>
      <c r="D17" s="43" t="n"/>
      <c r="E17" s="20" t="n"/>
      <c r="F17" s="20" t="n"/>
      <c r="G17" s="20" t="n"/>
      <c r="H17" s="42" t="n"/>
    </row>
    <row r="18">
      <c r="A18" s="24" t="inlineStr">
        <is>
          <t>TOTALS</t>
        </is>
      </c>
      <c r="B18" s="40" t="n"/>
      <c r="C18" s="25">
        <f>SUM(C7:C17)</f>
        <v/>
      </c>
      <c r="D18" s="25">
        <f>SUM(D7:D17)</f>
        <v/>
      </c>
      <c r="E18" s="40" t="n"/>
      <c r="F18" s="40" t="n"/>
      <c r="G18" s="40" t="n"/>
      <c r="H18" s="40" t="n"/>
    </row>
  </sheetData>
  <mergeCells count="2">
    <mergeCell ref="A1:H2"/>
    <mergeCell ref="A3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2" customWidth="1" min="4" max="4"/>
  </cols>
  <sheetData>
    <row r="1">
      <c r="A1" s="1" t="inlineStr">
        <is>
          <t>HOW TO USE THIS WORKBOOK</t>
        </is>
      </c>
      <c r="B1" s="2" t="n"/>
      <c r="C1" s="2" t="n"/>
      <c r="D1" s="3" t="n"/>
    </row>
    <row r="2">
      <c r="A2" s="4" t="n"/>
      <c r="B2" s="5" t="n"/>
      <c r="C2" s="5" t="n"/>
      <c r="D2" s="6" t="n"/>
    </row>
    <row r="4">
      <c r="A4" s="61" t="inlineStr">
        <is>
          <t>SHEET</t>
        </is>
      </c>
      <c r="B4" s="61" t="inlineStr">
        <is>
          <t>PURPOSE</t>
        </is>
      </c>
      <c r="C4" s="61" t="inlineStr">
        <is>
          <t>WHO UPDATES</t>
        </is>
      </c>
      <c r="D4" s="61" t="inlineStr">
        <is>
          <t>FREQUENCY</t>
        </is>
      </c>
    </row>
    <row r="5" ht="46" customHeight="1">
      <c r="A5" s="62" t="inlineStr">
        <is>
          <t>Dashboard</t>
        </is>
      </c>
      <c r="B5" s="63" t="inlineStr">
        <is>
          <t>Auto-calculated summary. KPIs and the monthly table update from the Budget Tracker.</t>
        </is>
      </c>
      <c r="C5" s="64" t="inlineStr">
        <is>
          <t>Read only</t>
        </is>
      </c>
      <c r="D5" s="64" t="inlineStr">
        <is>
          <t>Review weekly/monthly</t>
        </is>
      </c>
    </row>
    <row r="6" ht="46" customHeight="1">
      <c r="A6" s="65" t="inlineStr">
        <is>
          <t>Budget Tracker</t>
        </is>
      </c>
      <c r="B6" s="66" t="inlineStr">
        <is>
          <t>Enter actual kids enrolled (col C) and actual DPIL invoice (col E) each month. Also enter actual operational costs as you spend them.</t>
        </is>
      </c>
      <c r="C6" s="67" t="inlineStr">
        <is>
          <t>Director</t>
        </is>
      </c>
      <c r="D6" s="67" t="inlineStr">
        <is>
          <t>Monthly</t>
        </is>
      </c>
    </row>
    <row r="7" ht="46" customHeight="1">
      <c r="A7" s="62" t="inlineStr">
        <is>
          <t>Income Tracker</t>
        </is>
      </c>
      <c r="B7" s="63" t="inlineStr">
        <is>
          <t>Every donation, grant, or transfer is logged here. Pre-filled from the ledger (PayPal donor names are redacted in the export, so sources are labelled generically).</t>
        </is>
      </c>
      <c r="C7" s="64" t="inlineStr">
        <is>
          <t>Director</t>
        </is>
      </c>
      <c r="D7" s="64" t="inlineStr">
        <is>
          <t>As donations come in</t>
        </is>
      </c>
    </row>
    <row r="8" ht="46" customHeight="1">
      <c r="A8" s="65" t="inlineStr">
        <is>
          <t>Reserve Scenarios</t>
        </is>
      </c>
      <c r="B8" s="66" t="inlineStr">
        <is>
          <t>Projected reserves through 2029 under baseline and +/-15%/yr scenarios. Same model as the fiscal report; refreshed when you re-run the script.</t>
        </is>
      </c>
      <c r="C8" s="67" t="inlineStr">
        <is>
          <t>Director / Board</t>
        </is>
      </c>
      <c r="D8" s="67" t="inlineStr">
        <is>
          <t>Quarterly planning</t>
        </is>
      </c>
    </row>
    <row r="9" ht="46" customHeight="1">
      <c r="A9" s="62" t="inlineStr">
        <is>
          <t>Fundraising Planner</t>
        </is>
      </c>
      <c r="B9" s="63" t="inlineStr">
        <is>
          <t>Track all fundraising sources: grants, campaigns, recurring donors. Update status and amounts raised.</t>
        </is>
      </c>
      <c r="C9" s="64" t="inlineStr">
        <is>
          <t>Director</t>
        </is>
      </c>
      <c r="D9" s="64" t="inlineStr">
        <is>
          <t>Monthly or as needed</t>
        </is>
      </c>
    </row>
    <row r="11">
      <c r="A11" s="68" t="inlineStr">
        <is>
          <t>COLOR CODING:  Blue text = enter data here   |   Black text = formula (do not edit)   |   Yellow cell = key assumption you can change</t>
        </is>
      </c>
      <c r="B11" s="8" t="n"/>
      <c r="C11" s="8" t="n"/>
      <c r="D11" s="9" t="n"/>
    </row>
  </sheetData>
  <mergeCells count="2">
    <mergeCell ref="A1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2026-05-29T05:35:31Z</dcterms:created>
  <dcterms:modified xmlns:dcterms="http://purl.org/dc/terms/" xmlns:xsi="http://www.w3.org/2001/XMLSchema-instance" xsi:type="dcterms:W3CDTF">2026-05-29T05:35:31Z</dcterms:modified>
</cp:coreProperties>
</file>